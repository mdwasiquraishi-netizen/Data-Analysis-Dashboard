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ab6b0b2578aa29/1_Excel Dashboard Projects/00_Live/1_Vizspire/3_Personal Finance Dashboard/"/>
    </mc:Choice>
  </mc:AlternateContent>
  <xr:revisionPtr revIDLastSave="0" documentId="8_{E903B055-C364-4B23-9C5D-0981BDD75B93}" xr6:coauthVersionLast="47" xr6:coauthVersionMax="47" xr10:uidLastSave="{00000000-0000-0000-0000-000000000000}"/>
  <bookViews>
    <workbookView xWindow="-103" yWindow="-103" windowWidth="22149" windowHeight="11829" xr2:uid="{207C71FF-7B04-44FF-83A7-389B76E8E264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42" i="1" l="1"/>
  <c r="U442" i="1"/>
  <c r="T442" i="1"/>
  <c r="V441" i="1"/>
  <c r="U441" i="1"/>
  <c r="T441" i="1"/>
  <c r="V440" i="1"/>
  <c r="U440" i="1"/>
  <c r="T440" i="1"/>
  <c r="V439" i="1"/>
  <c r="U439" i="1"/>
  <c r="T439" i="1"/>
  <c r="V438" i="1"/>
  <c r="U438" i="1"/>
  <c r="T438" i="1"/>
  <c r="V437" i="1"/>
  <c r="U437" i="1"/>
  <c r="T437" i="1"/>
  <c r="V436" i="1"/>
  <c r="U436" i="1"/>
  <c r="T436" i="1"/>
  <c r="V435" i="1"/>
  <c r="U435" i="1"/>
  <c r="T435" i="1"/>
  <c r="V434" i="1"/>
  <c r="U434" i="1"/>
  <c r="T434" i="1"/>
  <c r="V433" i="1"/>
  <c r="U433" i="1"/>
  <c r="T433" i="1"/>
  <c r="V432" i="1"/>
  <c r="U432" i="1"/>
  <c r="T432" i="1"/>
  <c r="V431" i="1"/>
  <c r="U431" i="1"/>
  <c r="T431" i="1"/>
  <c r="V430" i="1"/>
  <c r="U430" i="1"/>
  <c r="T430" i="1"/>
  <c r="V429" i="1"/>
  <c r="U429" i="1"/>
  <c r="T429" i="1"/>
  <c r="V428" i="1"/>
  <c r="U428" i="1"/>
  <c r="T428" i="1"/>
  <c r="V427" i="1"/>
  <c r="U427" i="1"/>
  <c r="T427" i="1"/>
  <c r="V426" i="1"/>
  <c r="U426" i="1"/>
  <c r="T426" i="1"/>
  <c r="V425" i="1"/>
  <c r="U425" i="1"/>
  <c r="T425" i="1"/>
  <c r="V424" i="1"/>
  <c r="U424" i="1"/>
  <c r="T424" i="1"/>
  <c r="V423" i="1"/>
  <c r="U423" i="1"/>
  <c r="T423" i="1"/>
  <c r="V422" i="1"/>
  <c r="U422" i="1"/>
  <c r="T422" i="1"/>
  <c r="V421" i="1"/>
  <c r="U421" i="1"/>
  <c r="T421" i="1"/>
  <c r="V420" i="1"/>
  <c r="U420" i="1"/>
  <c r="T420" i="1"/>
  <c r="V419" i="1"/>
  <c r="U419" i="1"/>
  <c r="T419" i="1"/>
  <c r="V418" i="1"/>
  <c r="U418" i="1"/>
  <c r="T418" i="1"/>
  <c r="V417" i="1"/>
  <c r="U417" i="1"/>
  <c r="T417" i="1"/>
  <c r="V416" i="1"/>
  <c r="U416" i="1"/>
  <c r="T416" i="1"/>
  <c r="V415" i="1"/>
  <c r="U415" i="1"/>
  <c r="T415" i="1"/>
  <c r="V414" i="1"/>
  <c r="U414" i="1"/>
  <c r="T414" i="1"/>
  <c r="V413" i="1"/>
  <c r="U413" i="1"/>
  <c r="T413" i="1"/>
  <c r="V412" i="1"/>
  <c r="U412" i="1"/>
  <c r="T412" i="1"/>
  <c r="V411" i="1"/>
  <c r="U411" i="1"/>
  <c r="T411" i="1"/>
  <c r="V410" i="1"/>
  <c r="U410" i="1"/>
  <c r="T410" i="1"/>
  <c r="V409" i="1"/>
  <c r="U409" i="1"/>
  <c r="T409" i="1"/>
  <c r="V408" i="1"/>
  <c r="U408" i="1"/>
  <c r="T408" i="1"/>
  <c r="V407" i="1"/>
  <c r="U407" i="1"/>
  <c r="T407" i="1"/>
  <c r="V406" i="1"/>
  <c r="U406" i="1"/>
  <c r="T406" i="1"/>
  <c r="V405" i="1"/>
  <c r="U405" i="1"/>
  <c r="T405" i="1"/>
  <c r="V404" i="1"/>
  <c r="U404" i="1"/>
  <c r="T404" i="1"/>
  <c r="V403" i="1"/>
  <c r="U403" i="1"/>
  <c r="T403" i="1"/>
  <c r="V402" i="1"/>
  <c r="U402" i="1"/>
  <c r="T402" i="1"/>
  <c r="V401" i="1"/>
  <c r="U401" i="1"/>
  <c r="T401" i="1"/>
  <c r="V400" i="1"/>
  <c r="U400" i="1"/>
  <c r="T400" i="1"/>
  <c r="V399" i="1"/>
  <c r="U399" i="1"/>
  <c r="T399" i="1"/>
  <c r="V398" i="1"/>
  <c r="U398" i="1"/>
  <c r="T398" i="1"/>
  <c r="V397" i="1"/>
  <c r="U397" i="1"/>
  <c r="T397" i="1"/>
  <c r="V396" i="1"/>
  <c r="U396" i="1"/>
  <c r="T396" i="1"/>
  <c r="V395" i="1"/>
  <c r="U395" i="1"/>
  <c r="T395" i="1"/>
  <c r="V394" i="1"/>
  <c r="U394" i="1"/>
  <c r="T394" i="1"/>
  <c r="V393" i="1"/>
  <c r="U393" i="1"/>
  <c r="T393" i="1"/>
  <c r="V392" i="1"/>
  <c r="U392" i="1"/>
  <c r="T392" i="1"/>
  <c r="V391" i="1"/>
  <c r="U391" i="1"/>
  <c r="T391" i="1"/>
  <c r="V390" i="1"/>
  <c r="U390" i="1"/>
  <c r="T390" i="1"/>
  <c r="V389" i="1"/>
  <c r="U389" i="1"/>
  <c r="T389" i="1"/>
  <c r="V388" i="1"/>
  <c r="U388" i="1"/>
  <c r="T388" i="1"/>
  <c r="V387" i="1"/>
  <c r="U387" i="1"/>
  <c r="T387" i="1"/>
  <c r="V386" i="1"/>
  <c r="U386" i="1"/>
  <c r="T386" i="1"/>
  <c r="V385" i="1"/>
  <c r="U385" i="1"/>
  <c r="T385" i="1"/>
  <c r="V384" i="1"/>
  <c r="U384" i="1"/>
  <c r="T384" i="1"/>
  <c r="V383" i="1"/>
  <c r="U383" i="1"/>
  <c r="T383" i="1"/>
  <c r="V382" i="1"/>
  <c r="U382" i="1"/>
  <c r="T382" i="1"/>
  <c r="V381" i="1"/>
  <c r="U381" i="1"/>
  <c r="T381" i="1"/>
  <c r="V380" i="1"/>
  <c r="U380" i="1"/>
  <c r="T380" i="1"/>
  <c r="V379" i="1"/>
  <c r="U379" i="1"/>
  <c r="T379" i="1"/>
  <c r="V378" i="1"/>
  <c r="U378" i="1"/>
  <c r="T378" i="1"/>
  <c r="V377" i="1"/>
  <c r="U377" i="1"/>
  <c r="T377" i="1"/>
  <c r="V376" i="1"/>
  <c r="U376" i="1"/>
  <c r="T376" i="1"/>
  <c r="V375" i="1"/>
  <c r="U375" i="1"/>
  <c r="T375" i="1"/>
  <c r="V374" i="1"/>
  <c r="U374" i="1"/>
  <c r="T374" i="1"/>
  <c r="V373" i="1"/>
  <c r="U373" i="1"/>
  <c r="T373" i="1"/>
  <c r="V372" i="1"/>
  <c r="U372" i="1"/>
  <c r="T372" i="1"/>
  <c r="V371" i="1"/>
  <c r="U371" i="1"/>
  <c r="T371" i="1"/>
  <c r="V370" i="1"/>
  <c r="U370" i="1"/>
  <c r="T370" i="1"/>
  <c r="V369" i="1"/>
  <c r="U369" i="1"/>
  <c r="T369" i="1"/>
  <c r="V368" i="1"/>
  <c r="U368" i="1"/>
  <c r="T368" i="1"/>
  <c r="V367" i="1"/>
  <c r="U367" i="1"/>
  <c r="T367" i="1"/>
  <c r="V366" i="1"/>
  <c r="U366" i="1"/>
  <c r="T366" i="1"/>
  <c r="V365" i="1"/>
  <c r="U365" i="1"/>
  <c r="T365" i="1"/>
  <c r="V364" i="1"/>
  <c r="U364" i="1"/>
  <c r="T364" i="1"/>
  <c r="V363" i="1"/>
  <c r="U363" i="1"/>
  <c r="T363" i="1"/>
  <c r="V362" i="1"/>
  <c r="U362" i="1"/>
  <c r="T362" i="1"/>
  <c r="V361" i="1"/>
  <c r="U361" i="1"/>
  <c r="T361" i="1"/>
  <c r="V360" i="1"/>
  <c r="U360" i="1"/>
  <c r="T360" i="1"/>
  <c r="V359" i="1"/>
  <c r="U359" i="1"/>
  <c r="T359" i="1"/>
  <c r="V358" i="1"/>
  <c r="U358" i="1"/>
  <c r="T358" i="1"/>
  <c r="V357" i="1"/>
  <c r="U357" i="1"/>
  <c r="T357" i="1"/>
  <c r="V356" i="1"/>
  <c r="U356" i="1"/>
  <c r="T356" i="1"/>
  <c r="V355" i="1"/>
  <c r="U355" i="1"/>
  <c r="T355" i="1"/>
  <c r="V354" i="1"/>
  <c r="U354" i="1"/>
  <c r="T354" i="1"/>
  <c r="V353" i="1"/>
  <c r="U353" i="1"/>
  <c r="T353" i="1"/>
  <c r="V352" i="1"/>
  <c r="U352" i="1"/>
  <c r="T352" i="1"/>
  <c r="V351" i="1"/>
  <c r="U351" i="1"/>
  <c r="T351" i="1"/>
  <c r="V350" i="1"/>
  <c r="U350" i="1"/>
  <c r="T350" i="1"/>
  <c r="V349" i="1"/>
  <c r="U349" i="1"/>
  <c r="T349" i="1"/>
  <c r="V348" i="1"/>
  <c r="U348" i="1"/>
  <c r="T348" i="1"/>
  <c r="V347" i="1"/>
  <c r="U347" i="1"/>
  <c r="T347" i="1"/>
  <c r="V346" i="1"/>
  <c r="U346" i="1"/>
  <c r="T346" i="1"/>
  <c r="V345" i="1"/>
  <c r="U345" i="1"/>
  <c r="T345" i="1"/>
  <c r="V344" i="1"/>
  <c r="U344" i="1"/>
  <c r="T344" i="1"/>
  <c r="V343" i="1"/>
  <c r="U343" i="1"/>
  <c r="T343" i="1"/>
  <c r="V342" i="1"/>
  <c r="U342" i="1"/>
  <c r="T342" i="1"/>
  <c r="V341" i="1"/>
  <c r="U341" i="1"/>
  <c r="T341" i="1"/>
  <c r="V340" i="1"/>
  <c r="U340" i="1"/>
  <c r="T340" i="1"/>
  <c r="V339" i="1"/>
  <c r="U339" i="1"/>
  <c r="T339" i="1"/>
  <c r="V338" i="1"/>
  <c r="U338" i="1"/>
  <c r="T338" i="1"/>
  <c r="V337" i="1"/>
  <c r="U337" i="1"/>
  <c r="T337" i="1"/>
  <c r="V336" i="1"/>
  <c r="U336" i="1"/>
  <c r="T336" i="1"/>
  <c r="V335" i="1"/>
  <c r="U335" i="1"/>
  <c r="T335" i="1"/>
  <c r="V334" i="1"/>
  <c r="U334" i="1"/>
  <c r="T334" i="1"/>
  <c r="V333" i="1"/>
  <c r="U333" i="1"/>
  <c r="T333" i="1"/>
  <c r="V332" i="1"/>
  <c r="U332" i="1"/>
  <c r="T332" i="1"/>
  <c r="V331" i="1"/>
  <c r="U331" i="1"/>
  <c r="T331" i="1"/>
  <c r="V330" i="1"/>
  <c r="U330" i="1"/>
  <c r="T330" i="1"/>
  <c r="V329" i="1"/>
  <c r="U329" i="1"/>
  <c r="T329" i="1"/>
  <c r="V328" i="1"/>
  <c r="U328" i="1"/>
  <c r="T328" i="1"/>
  <c r="V327" i="1"/>
  <c r="U327" i="1"/>
  <c r="T327" i="1"/>
  <c r="V326" i="1"/>
  <c r="U326" i="1"/>
  <c r="T326" i="1"/>
  <c r="V325" i="1"/>
  <c r="U325" i="1"/>
  <c r="T325" i="1"/>
  <c r="V324" i="1"/>
  <c r="U324" i="1"/>
  <c r="T324" i="1"/>
  <c r="V323" i="1"/>
  <c r="U323" i="1"/>
  <c r="T323" i="1"/>
  <c r="V322" i="1"/>
  <c r="U322" i="1"/>
  <c r="T322" i="1"/>
  <c r="V321" i="1"/>
  <c r="U321" i="1"/>
  <c r="T321" i="1"/>
  <c r="V320" i="1"/>
  <c r="U320" i="1"/>
  <c r="T320" i="1"/>
  <c r="V319" i="1"/>
  <c r="U319" i="1"/>
  <c r="T319" i="1"/>
  <c r="V318" i="1"/>
  <c r="U318" i="1"/>
  <c r="T318" i="1"/>
  <c r="V317" i="1"/>
  <c r="U317" i="1"/>
  <c r="T317" i="1"/>
  <c r="V316" i="1"/>
  <c r="U316" i="1"/>
  <c r="T316" i="1"/>
  <c r="V315" i="1"/>
  <c r="U315" i="1"/>
  <c r="T315" i="1"/>
  <c r="V314" i="1"/>
  <c r="U314" i="1"/>
  <c r="T314" i="1"/>
  <c r="V313" i="1"/>
  <c r="U313" i="1"/>
  <c r="T313" i="1"/>
  <c r="V312" i="1"/>
  <c r="U312" i="1"/>
  <c r="T312" i="1"/>
  <c r="V311" i="1"/>
  <c r="U311" i="1"/>
  <c r="T311" i="1"/>
  <c r="V310" i="1"/>
  <c r="U310" i="1"/>
  <c r="T310" i="1"/>
  <c r="V309" i="1"/>
  <c r="U309" i="1"/>
  <c r="T309" i="1"/>
  <c r="V308" i="1"/>
  <c r="U308" i="1"/>
  <c r="T308" i="1"/>
  <c r="V307" i="1"/>
  <c r="U307" i="1"/>
  <c r="T307" i="1"/>
  <c r="V306" i="1"/>
  <c r="U306" i="1"/>
  <c r="T306" i="1"/>
  <c r="V305" i="1"/>
  <c r="U305" i="1"/>
  <c r="T305" i="1"/>
  <c r="V304" i="1"/>
  <c r="U304" i="1"/>
  <c r="T304" i="1"/>
  <c r="V303" i="1"/>
  <c r="U303" i="1"/>
  <c r="T303" i="1"/>
  <c r="V302" i="1"/>
  <c r="U302" i="1"/>
  <c r="T302" i="1"/>
  <c r="V301" i="1"/>
  <c r="U301" i="1"/>
  <c r="T301" i="1"/>
  <c r="V300" i="1"/>
  <c r="U300" i="1"/>
  <c r="T300" i="1"/>
  <c r="V299" i="1"/>
  <c r="U299" i="1"/>
  <c r="T299" i="1"/>
  <c r="V298" i="1"/>
  <c r="U298" i="1"/>
  <c r="T298" i="1"/>
  <c r="V297" i="1"/>
  <c r="U297" i="1"/>
  <c r="T297" i="1"/>
  <c r="V296" i="1"/>
  <c r="U296" i="1"/>
  <c r="T296" i="1"/>
  <c r="V295" i="1"/>
  <c r="U295" i="1"/>
  <c r="T295" i="1"/>
  <c r="V294" i="1"/>
  <c r="U294" i="1"/>
  <c r="T294" i="1"/>
  <c r="V293" i="1"/>
  <c r="U293" i="1"/>
  <c r="T293" i="1"/>
  <c r="V292" i="1"/>
  <c r="U292" i="1"/>
  <c r="T292" i="1"/>
  <c r="V291" i="1"/>
  <c r="U291" i="1"/>
  <c r="T291" i="1"/>
  <c r="V290" i="1"/>
  <c r="U290" i="1"/>
  <c r="T290" i="1"/>
  <c r="V289" i="1"/>
  <c r="U289" i="1"/>
  <c r="T289" i="1"/>
  <c r="V288" i="1"/>
  <c r="U288" i="1"/>
  <c r="T288" i="1"/>
  <c r="V287" i="1"/>
  <c r="U287" i="1"/>
  <c r="T287" i="1"/>
  <c r="V286" i="1"/>
  <c r="U286" i="1"/>
  <c r="T286" i="1"/>
  <c r="V285" i="1"/>
  <c r="U285" i="1"/>
  <c r="T285" i="1"/>
  <c r="V284" i="1"/>
  <c r="U284" i="1"/>
  <c r="T284" i="1"/>
  <c r="V283" i="1"/>
  <c r="U283" i="1"/>
  <c r="T283" i="1"/>
  <c r="V282" i="1"/>
  <c r="U282" i="1"/>
  <c r="T282" i="1"/>
  <c r="V281" i="1"/>
  <c r="U281" i="1"/>
  <c r="T281" i="1"/>
  <c r="V280" i="1"/>
  <c r="U280" i="1"/>
  <c r="T280" i="1"/>
  <c r="V279" i="1"/>
  <c r="U279" i="1"/>
  <c r="T279" i="1"/>
  <c r="V278" i="1"/>
  <c r="U278" i="1"/>
  <c r="T278" i="1"/>
  <c r="V277" i="1"/>
  <c r="U277" i="1"/>
  <c r="T277" i="1"/>
  <c r="V276" i="1"/>
  <c r="U276" i="1"/>
  <c r="T276" i="1"/>
  <c r="V275" i="1"/>
  <c r="U275" i="1"/>
  <c r="T275" i="1"/>
  <c r="V274" i="1"/>
  <c r="U274" i="1"/>
  <c r="T274" i="1"/>
  <c r="V273" i="1"/>
  <c r="U273" i="1"/>
  <c r="T273" i="1"/>
  <c r="V272" i="1"/>
  <c r="U272" i="1"/>
  <c r="T272" i="1"/>
  <c r="V271" i="1"/>
  <c r="U271" i="1"/>
  <c r="T271" i="1"/>
  <c r="V270" i="1"/>
  <c r="U270" i="1"/>
  <c r="T270" i="1"/>
  <c r="V269" i="1"/>
  <c r="U269" i="1"/>
  <c r="T269" i="1"/>
  <c r="V268" i="1"/>
  <c r="U268" i="1"/>
  <c r="T268" i="1"/>
  <c r="V267" i="1"/>
  <c r="U267" i="1"/>
  <c r="T267" i="1"/>
  <c r="V266" i="1"/>
  <c r="U266" i="1"/>
  <c r="T266" i="1"/>
  <c r="V265" i="1"/>
  <c r="U265" i="1"/>
  <c r="T265" i="1"/>
  <c r="V264" i="1"/>
  <c r="U264" i="1"/>
  <c r="T264" i="1"/>
  <c r="V263" i="1"/>
  <c r="U263" i="1"/>
  <c r="T263" i="1"/>
  <c r="V262" i="1"/>
  <c r="U262" i="1"/>
  <c r="T262" i="1"/>
  <c r="V261" i="1"/>
  <c r="U261" i="1"/>
  <c r="T261" i="1"/>
  <c r="V260" i="1"/>
  <c r="U260" i="1"/>
  <c r="T260" i="1"/>
  <c r="V259" i="1"/>
  <c r="U259" i="1"/>
  <c r="T259" i="1"/>
  <c r="V258" i="1"/>
  <c r="U258" i="1"/>
  <c r="T258" i="1"/>
  <c r="V257" i="1"/>
  <c r="U257" i="1"/>
  <c r="T257" i="1"/>
  <c r="V256" i="1"/>
  <c r="U256" i="1"/>
  <c r="T256" i="1"/>
  <c r="V255" i="1"/>
  <c r="U255" i="1"/>
  <c r="T255" i="1"/>
  <c r="V254" i="1"/>
  <c r="U254" i="1"/>
  <c r="T254" i="1"/>
  <c r="V253" i="1"/>
  <c r="U253" i="1"/>
  <c r="T253" i="1"/>
  <c r="V252" i="1"/>
  <c r="U252" i="1"/>
  <c r="T252" i="1"/>
  <c r="V251" i="1"/>
  <c r="U251" i="1"/>
  <c r="T251" i="1"/>
  <c r="V250" i="1"/>
  <c r="U250" i="1"/>
  <c r="T250" i="1"/>
  <c r="V249" i="1"/>
  <c r="U249" i="1"/>
  <c r="T249" i="1"/>
  <c r="V248" i="1"/>
  <c r="U248" i="1"/>
  <c r="T248" i="1"/>
  <c r="V247" i="1"/>
  <c r="U247" i="1"/>
  <c r="T247" i="1"/>
  <c r="V246" i="1"/>
  <c r="U246" i="1"/>
  <c r="T246" i="1"/>
  <c r="V245" i="1"/>
  <c r="U245" i="1"/>
  <c r="T245" i="1"/>
  <c r="V244" i="1"/>
  <c r="U244" i="1"/>
  <c r="T244" i="1"/>
  <c r="V243" i="1"/>
  <c r="U243" i="1"/>
  <c r="T243" i="1"/>
  <c r="V242" i="1"/>
  <c r="U242" i="1"/>
  <c r="T242" i="1"/>
  <c r="V241" i="1"/>
  <c r="U241" i="1"/>
  <c r="T241" i="1"/>
  <c r="V240" i="1"/>
  <c r="U240" i="1"/>
  <c r="T240" i="1"/>
  <c r="V239" i="1"/>
  <c r="U239" i="1"/>
  <c r="T239" i="1"/>
  <c r="V238" i="1"/>
  <c r="U238" i="1"/>
  <c r="T238" i="1"/>
  <c r="V237" i="1"/>
  <c r="U237" i="1"/>
  <c r="T237" i="1"/>
  <c r="V236" i="1"/>
  <c r="U236" i="1"/>
  <c r="T236" i="1"/>
  <c r="V235" i="1"/>
  <c r="U235" i="1"/>
  <c r="T235" i="1"/>
  <c r="V234" i="1"/>
  <c r="U234" i="1"/>
  <c r="T234" i="1"/>
  <c r="V233" i="1"/>
  <c r="U233" i="1"/>
  <c r="T233" i="1"/>
  <c r="V232" i="1"/>
  <c r="U232" i="1"/>
  <c r="T232" i="1"/>
  <c r="V231" i="1"/>
  <c r="U231" i="1"/>
  <c r="T231" i="1"/>
  <c r="V230" i="1"/>
  <c r="U230" i="1"/>
  <c r="T230" i="1"/>
  <c r="V229" i="1"/>
  <c r="U229" i="1"/>
  <c r="T229" i="1"/>
  <c r="V228" i="1"/>
  <c r="U228" i="1"/>
  <c r="T228" i="1"/>
  <c r="V227" i="1"/>
  <c r="U227" i="1"/>
  <c r="T227" i="1"/>
  <c r="V226" i="1"/>
  <c r="U226" i="1"/>
  <c r="T226" i="1"/>
  <c r="V225" i="1"/>
  <c r="U225" i="1"/>
  <c r="T225" i="1"/>
  <c r="V224" i="1"/>
  <c r="U224" i="1"/>
  <c r="T224" i="1"/>
  <c r="V223" i="1"/>
  <c r="U223" i="1"/>
  <c r="T223" i="1"/>
  <c r="V222" i="1"/>
  <c r="U222" i="1"/>
  <c r="T222" i="1"/>
  <c r="V221" i="1"/>
  <c r="U221" i="1"/>
  <c r="T221" i="1"/>
  <c r="V220" i="1"/>
  <c r="U220" i="1"/>
  <c r="T220" i="1"/>
  <c r="V219" i="1"/>
  <c r="U219" i="1"/>
  <c r="T219" i="1"/>
  <c r="V218" i="1"/>
  <c r="U218" i="1"/>
  <c r="T218" i="1"/>
  <c r="V217" i="1"/>
  <c r="U217" i="1"/>
  <c r="T217" i="1"/>
  <c r="V216" i="1"/>
  <c r="U216" i="1"/>
  <c r="T216" i="1"/>
  <c r="V215" i="1"/>
  <c r="U215" i="1"/>
  <c r="T215" i="1"/>
  <c r="V214" i="1"/>
  <c r="U214" i="1"/>
  <c r="T214" i="1"/>
  <c r="V213" i="1"/>
  <c r="U213" i="1"/>
  <c r="T213" i="1"/>
  <c r="V212" i="1"/>
  <c r="U212" i="1"/>
  <c r="T212" i="1"/>
  <c r="V211" i="1"/>
  <c r="U211" i="1"/>
  <c r="T211" i="1"/>
  <c r="V210" i="1"/>
  <c r="U210" i="1"/>
  <c r="T210" i="1"/>
  <c r="V209" i="1"/>
  <c r="U209" i="1"/>
  <c r="T209" i="1"/>
  <c r="V208" i="1"/>
  <c r="U208" i="1"/>
  <c r="T208" i="1"/>
  <c r="V207" i="1"/>
  <c r="U207" i="1"/>
  <c r="T207" i="1"/>
  <c r="V206" i="1"/>
  <c r="U206" i="1"/>
  <c r="T206" i="1"/>
  <c r="V205" i="1"/>
  <c r="U205" i="1"/>
  <c r="T205" i="1"/>
  <c r="V204" i="1"/>
  <c r="U204" i="1"/>
  <c r="T204" i="1"/>
  <c r="V203" i="1"/>
  <c r="U203" i="1"/>
  <c r="T203" i="1"/>
  <c r="V202" i="1"/>
  <c r="U202" i="1"/>
  <c r="T202" i="1"/>
  <c r="V201" i="1"/>
  <c r="U201" i="1"/>
  <c r="T201" i="1"/>
  <c r="V200" i="1"/>
  <c r="U200" i="1"/>
  <c r="T200" i="1"/>
  <c r="V199" i="1"/>
  <c r="U199" i="1"/>
  <c r="T199" i="1"/>
  <c r="V198" i="1"/>
  <c r="U198" i="1"/>
  <c r="T198" i="1"/>
  <c r="V197" i="1"/>
  <c r="U197" i="1"/>
  <c r="T197" i="1"/>
  <c r="V196" i="1"/>
  <c r="U196" i="1"/>
  <c r="T196" i="1"/>
  <c r="V195" i="1"/>
  <c r="U195" i="1"/>
  <c r="T195" i="1"/>
  <c r="V194" i="1"/>
  <c r="U194" i="1"/>
  <c r="T194" i="1"/>
  <c r="V193" i="1"/>
  <c r="U193" i="1"/>
  <c r="T193" i="1"/>
  <c r="V192" i="1"/>
  <c r="U192" i="1"/>
  <c r="T192" i="1"/>
  <c r="V191" i="1"/>
  <c r="U191" i="1"/>
  <c r="T191" i="1"/>
  <c r="V190" i="1"/>
  <c r="U190" i="1"/>
  <c r="T190" i="1"/>
  <c r="V189" i="1"/>
  <c r="U189" i="1"/>
  <c r="T189" i="1"/>
  <c r="V188" i="1"/>
  <c r="U188" i="1"/>
  <c r="T188" i="1"/>
  <c r="V187" i="1"/>
  <c r="U187" i="1"/>
  <c r="T187" i="1"/>
  <c r="V186" i="1"/>
  <c r="U186" i="1"/>
  <c r="T186" i="1"/>
  <c r="V185" i="1"/>
  <c r="U185" i="1"/>
  <c r="T185" i="1"/>
  <c r="V184" i="1"/>
  <c r="U184" i="1"/>
  <c r="T184" i="1"/>
  <c r="V183" i="1"/>
  <c r="U183" i="1"/>
  <c r="T183" i="1"/>
  <c r="V182" i="1"/>
  <c r="U182" i="1"/>
  <c r="T182" i="1"/>
  <c r="V181" i="1"/>
  <c r="U181" i="1"/>
  <c r="T181" i="1"/>
  <c r="V180" i="1"/>
  <c r="U180" i="1"/>
  <c r="T180" i="1"/>
  <c r="V179" i="1"/>
  <c r="U179" i="1"/>
  <c r="T179" i="1"/>
  <c r="V178" i="1"/>
  <c r="U178" i="1"/>
  <c r="T178" i="1"/>
  <c r="V177" i="1"/>
  <c r="U177" i="1"/>
  <c r="T177" i="1"/>
  <c r="V176" i="1"/>
  <c r="U176" i="1"/>
  <c r="T176" i="1"/>
  <c r="V175" i="1"/>
  <c r="U175" i="1"/>
  <c r="T175" i="1"/>
  <c r="V174" i="1"/>
  <c r="U174" i="1"/>
  <c r="T174" i="1"/>
  <c r="V173" i="1"/>
  <c r="U173" i="1"/>
  <c r="T173" i="1"/>
  <c r="V172" i="1"/>
  <c r="U172" i="1"/>
  <c r="T172" i="1"/>
  <c r="V171" i="1"/>
  <c r="U171" i="1"/>
  <c r="T171" i="1"/>
  <c r="V170" i="1"/>
  <c r="U170" i="1"/>
  <c r="T170" i="1"/>
  <c r="V169" i="1"/>
  <c r="U169" i="1"/>
  <c r="T169" i="1"/>
  <c r="V168" i="1"/>
  <c r="U168" i="1"/>
  <c r="T168" i="1"/>
  <c r="V167" i="1"/>
  <c r="U167" i="1"/>
  <c r="T167" i="1"/>
  <c r="V166" i="1"/>
  <c r="U166" i="1"/>
  <c r="T166" i="1"/>
  <c r="V165" i="1"/>
  <c r="U165" i="1"/>
  <c r="T165" i="1"/>
  <c r="V164" i="1"/>
  <c r="U164" i="1"/>
  <c r="T164" i="1"/>
  <c r="V163" i="1"/>
  <c r="U163" i="1"/>
  <c r="T163" i="1"/>
  <c r="V162" i="1"/>
  <c r="U162" i="1"/>
  <c r="T162" i="1"/>
  <c r="V161" i="1"/>
  <c r="U161" i="1"/>
  <c r="T161" i="1"/>
  <c r="V160" i="1"/>
  <c r="U160" i="1"/>
  <c r="T160" i="1"/>
  <c r="V159" i="1"/>
  <c r="U159" i="1"/>
  <c r="T159" i="1"/>
  <c r="V158" i="1"/>
  <c r="U158" i="1"/>
  <c r="T158" i="1"/>
  <c r="V157" i="1"/>
  <c r="U157" i="1"/>
  <c r="T157" i="1"/>
  <c r="V156" i="1"/>
  <c r="U156" i="1"/>
  <c r="T156" i="1"/>
  <c r="V155" i="1"/>
  <c r="U155" i="1"/>
  <c r="T155" i="1"/>
  <c r="V154" i="1"/>
  <c r="U154" i="1"/>
  <c r="T154" i="1"/>
  <c r="V153" i="1"/>
  <c r="U153" i="1"/>
  <c r="T153" i="1"/>
  <c r="V152" i="1"/>
  <c r="U152" i="1"/>
  <c r="T152" i="1"/>
  <c r="V151" i="1"/>
  <c r="U151" i="1"/>
  <c r="T151" i="1"/>
  <c r="V150" i="1"/>
  <c r="U150" i="1"/>
  <c r="T150" i="1"/>
  <c r="V149" i="1"/>
  <c r="U149" i="1"/>
  <c r="T149" i="1"/>
  <c r="V148" i="1"/>
  <c r="U148" i="1"/>
  <c r="T148" i="1"/>
  <c r="V147" i="1"/>
  <c r="U147" i="1"/>
  <c r="T147" i="1"/>
  <c r="V146" i="1"/>
  <c r="U146" i="1"/>
  <c r="T146" i="1"/>
  <c r="V145" i="1"/>
  <c r="U145" i="1"/>
  <c r="T145" i="1"/>
  <c r="V144" i="1"/>
  <c r="U144" i="1"/>
  <c r="T144" i="1"/>
  <c r="V143" i="1"/>
  <c r="U143" i="1"/>
  <c r="T143" i="1"/>
  <c r="V142" i="1"/>
  <c r="U142" i="1"/>
  <c r="T142" i="1"/>
  <c r="V141" i="1"/>
  <c r="U141" i="1"/>
  <c r="T141" i="1"/>
  <c r="V140" i="1"/>
  <c r="U140" i="1"/>
  <c r="T140" i="1"/>
  <c r="V139" i="1"/>
  <c r="U139" i="1"/>
  <c r="T139" i="1"/>
  <c r="V138" i="1"/>
  <c r="U138" i="1"/>
  <c r="T138" i="1"/>
  <c r="V137" i="1"/>
  <c r="U137" i="1"/>
  <c r="T137" i="1"/>
  <c r="V136" i="1"/>
  <c r="U136" i="1"/>
  <c r="T136" i="1"/>
  <c r="V135" i="1"/>
  <c r="U135" i="1"/>
  <c r="T135" i="1"/>
  <c r="V134" i="1"/>
  <c r="U134" i="1"/>
  <c r="T134" i="1"/>
  <c r="V133" i="1"/>
  <c r="U133" i="1"/>
  <c r="T133" i="1"/>
  <c r="V132" i="1"/>
  <c r="U132" i="1"/>
  <c r="T132" i="1"/>
  <c r="V131" i="1"/>
  <c r="U131" i="1"/>
  <c r="T131" i="1"/>
  <c r="V130" i="1"/>
  <c r="U130" i="1"/>
  <c r="T130" i="1"/>
  <c r="V129" i="1"/>
  <c r="U129" i="1"/>
  <c r="T129" i="1"/>
  <c r="V128" i="1"/>
  <c r="U128" i="1"/>
  <c r="T128" i="1"/>
  <c r="V127" i="1"/>
  <c r="U127" i="1"/>
  <c r="T127" i="1"/>
  <c r="V126" i="1"/>
  <c r="U126" i="1"/>
  <c r="T126" i="1"/>
  <c r="V125" i="1"/>
  <c r="U125" i="1"/>
  <c r="T125" i="1"/>
  <c r="V124" i="1"/>
  <c r="U124" i="1"/>
  <c r="T124" i="1"/>
  <c r="V123" i="1"/>
  <c r="U123" i="1"/>
  <c r="T123" i="1"/>
  <c r="V122" i="1"/>
  <c r="U122" i="1"/>
  <c r="T122" i="1"/>
  <c r="V121" i="1"/>
  <c r="U121" i="1"/>
  <c r="T121" i="1"/>
  <c r="V120" i="1"/>
  <c r="U120" i="1"/>
  <c r="T120" i="1"/>
  <c r="V119" i="1"/>
  <c r="U119" i="1"/>
  <c r="T119" i="1"/>
  <c r="V118" i="1"/>
  <c r="U118" i="1"/>
  <c r="T118" i="1"/>
  <c r="V117" i="1"/>
  <c r="U117" i="1"/>
  <c r="T117" i="1"/>
  <c r="V116" i="1"/>
  <c r="U116" i="1"/>
  <c r="T116" i="1"/>
  <c r="V115" i="1"/>
  <c r="U115" i="1"/>
  <c r="T115" i="1"/>
  <c r="V114" i="1"/>
  <c r="U114" i="1"/>
  <c r="T114" i="1"/>
  <c r="V113" i="1"/>
  <c r="U113" i="1"/>
  <c r="T113" i="1"/>
  <c r="V112" i="1"/>
  <c r="U112" i="1"/>
  <c r="T112" i="1"/>
  <c r="V111" i="1"/>
  <c r="U111" i="1"/>
  <c r="T111" i="1"/>
  <c r="V110" i="1"/>
  <c r="U110" i="1"/>
  <c r="T110" i="1"/>
  <c r="V109" i="1"/>
  <c r="U109" i="1"/>
  <c r="T109" i="1"/>
  <c r="V108" i="1"/>
  <c r="U108" i="1"/>
  <c r="T108" i="1"/>
  <c r="V107" i="1"/>
  <c r="U107" i="1"/>
  <c r="T107" i="1"/>
  <c r="V106" i="1"/>
  <c r="U106" i="1"/>
  <c r="T106" i="1"/>
  <c r="V105" i="1"/>
  <c r="U105" i="1"/>
  <c r="T105" i="1"/>
  <c r="V104" i="1"/>
  <c r="U104" i="1"/>
  <c r="T104" i="1"/>
  <c r="V103" i="1"/>
  <c r="U103" i="1"/>
  <c r="T103" i="1"/>
  <c r="V102" i="1"/>
  <c r="U102" i="1"/>
  <c r="T102" i="1"/>
  <c r="V101" i="1"/>
  <c r="U101" i="1"/>
  <c r="T101" i="1"/>
  <c r="V100" i="1"/>
  <c r="U100" i="1"/>
  <c r="T100" i="1"/>
  <c r="V99" i="1"/>
  <c r="U99" i="1"/>
  <c r="T99" i="1"/>
  <c r="V98" i="1"/>
  <c r="U98" i="1"/>
  <c r="T98" i="1"/>
  <c r="V97" i="1"/>
  <c r="U97" i="1"/>
  <c r="T97" i="1"/>
  <c r="V96" i="1"/>
  <c r="U96" i="1"/>
  <c r="T96" i="1"/>
  <c r="V95" i="1"/>
  <c r="U95" i="1"/>
  <c r="T95" i="1"/>
  <c r="V94" i="1"/>
  <c r="U94" i="1"/>
  <c r="T94" i="1"/>
  <c r="V93" i="1"/>
  <c r="U93" i="1"/>
  <c r="T93" i="1"/>
  <c r="V92" i="1"/>
  <c r="U92" i="1"/>
  <c r="T92" i="1"/>
  <c r="V91" i="1"/>
  <c r="U91" i="1"/>
  <c r="T91" i="1"/>
  <c r="V90" i="1"/>
  <c r="U90" i="1"/>
  <c r="T90" i="1"/>
  <c r="V89" i="1"/>
  <c r="U89" i="1"/>
  <c r="T89" i="1"/>
  <c r="V88" i="1"/>
  <c r="U88" i="1"/>
  <c r="T88" i="1"/>
  <c r="V87" i="1"/>
  <c r="U87" i="1"/>
  <c r="T87" i="1"/>
  <c r="V86" i="1"/>
  <c r="U86" i="1"/>
  <c r="T86" i="1"/>
  <c r="V85" i="1"/>
  <c r="U85" i="1"/>
  <c r="T85" i="1"/>
  <c r="V84" i="1"/>
  <c r="U84" i="1"/>
  <c r="T84" i="1"/>
  <c r="V83" i="1"/>
  <c r="U83" i="1"/>
  <c r="T83" i="1"/>
  <c r="V82" i="1"/>
  <c r="U82" i="1"/>
  <c r="T82" i="1"/>
  <c r="V81" i="1"/>
  <c r="U81" i="1"/>
  <c r="T81" i="1"/>
  <c r="V80" i="1"/>
  <c r="U80" i="1"/>
  <c r="T80" i="1"/>
  <c r="V79" i="1"/>
  <c r="U79" i="1"/>
  <c r="T79" i="1"/>
  <c r="V78" i="1"/>
  <c r="U78" i="1"/>
  <c r="T78" i="1"/>
  <c r="V77" i="1"/>
  <c r="U77" i="1"/>
  <c r="T77" i="1"/>
  <c r="V76" i="1"/>
  <c r="U76" i="1"/>
  <c r="T76" i="1"/>
  <c r="V75" i="1"/>
  <c r="U75" i="1"/>
  <c r="T75" i="1"/>
  <c r="V74" i="1"/>
  <c r="U74" i="1"/>
  <c r="T74" i="1"/>
  <c r="V73" i="1"/>
  <c r="U73" i="1"/>
  <c r="T73" i="1"/>
  <c r="V72" i="1"/>
  <c r="U72" i="1"/>
  <c r="T72" i="1"/>
  <c r="V71" i="1"/>
  <c r="U71" i="1"/>
  <c r="T71" i="1"/>
  <c r="V70" i="1"/>
  <c r="U70" i="1"/>
  <c r="T70" i="1"/>
  <c r="V69" i="1"/>
  <c r="U69" i="1"/>
  <c r="T69" i="1"/>
  <c r="V68" i="1"/>
  <c r="U68" i="1"/>
  <c r="T68" i="1"/>
  <c r="V67" i="1"/>
  <c r="U67" i="1"/>
  <c r="T67" i="1"/>
  <c r="V66" i="1"/>
  <c r="U66" i="1"/>
  <c r="T66" i="1"/>
  <c r="V65" i="1"/>
  <c r="U65" i="1"/>
  <c r="T65" i="1"/>
  <c r="V64" i="1"/>
  <c r="U64" i="1"/>
  <c r="T64" i="1"/>
  <c r="V63" i="1"/>
  <c r="U63" i="1"/>
  <c r="T63" i="1"/>
  <c r="V62" i="1"/>
  <c r="U62" i="1"/>
  <c r="T62" i="1"/>
  <c r="V61" i="1"/>
  <c r="U61" i="1"/>
  <c r="T61" i="1"/>
  <c r="V60" i="1"/>
  <c r="U60" i="1"/>
  <c r="T60" i="1"/>
  <c r="V59" i="1"/>
  <c r="U59" i="1"/>
  <c r="T59" i="1"/>
  <c r="V58" i="1"/>
  <c r="U58" i="1"/>
  <c r="T58" i="1"/>
  <c r="V57" i="1"/>
  <c r="U57" i="1"/>
  <c r="T57" i="1"/>
  <c r="V56" i="1"/>
  <c r="U56" i="1"/>
  <c r="T56" i="1"/>
  <c r="V55" i="1"/>
  <c r="U55" i="1"/>
  <c r="T55" i="1"/>
  <c r="V54" i="1"/>
  <c r="U54" i="1"/>
  <c r="T54" i="1"/>
  <c r="V53" i="1"/>
  <c r="U53" i="1"/>
  <c r="T53" i="1"/>
  <c r="V52" i="1"/>
  <c r="U52" i="1"/>
  <c r="T52" i="1"/>
  <c r="V51" i="1"/>
  <c r="U51" i="1"/>
  <c r="T51" i="1"/>
  <c r="V50" i="1"/>
  <c r="U50" i="1"/>
  <c r="T50" i="1"/>
  <c r="V49" i="1"/>
  <c r="U49" i="1"/>
  <c r="T49" i="1"/>
  <c r="V48" i="1"/>
  <c r="U48" i="1"/>
  <c r="T48" i="1"/>
  <c r="V47" i="1"/>
  <c r="U47" i="1"/>
  <c r="T47" i="1"/>
  <c r="V46" i="1"/>
  <c r="U46" i="1"/>
  <c r="T46" i="1"/>
  <c r="V45" i="1"/>
  <c r="U45" i="1"/>
  <c r="T45" i="1"/>
  <c r="V44" i="1"/>
  <c r="U44" i="1"/>
  <c r="T44" i="1"/>
  <c r="V43" i="1"/>
  <c r="U43" i="1"/>
  <c r="T43" i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  <c r="V2" i="1"/>
  <c r="U2" i="1"/>
  <c r="T2" i="1"/>
</calcChain>
</file>

<file path=xl/sharedStrings.xml><?xml version="1.0" encoding="utf-8"?>
<sst xmlns="http://schemas.openxmlformats.org/spreadsheetml/2006/main" count="6196" uniqueCount="517">
  <si>
    <t>Transaction ID</t>
  </si>
  <si>
    <t>Date</t>
  </si>
  <si>
    <t>Year</t>
  </si>
  <si>
    <t>Account</t>
  </si>
  <si>
    <t>Bank</t>
  </si>
  <si>
    <t>Transaction Type</t>
  </si>
  <si>
    <t>Category</t>
  </si>
  <si>
    <t>Sub Category</t>
  </si>
  <si>
    <t>Payment Method</t>
  </si>
  <si>
    <t>Merchant</t>
  </si>
  <si>
    <t>Description</t>
  </si>
  <si>
    <t>Amount (₹)</t>
  </si>
  <si>
    <t>Budget (₹)</t>
  </si>
  <si>
    <t>Savings Goal</t>
  </si>
  <si>
    <t>Location</t>
  </si>
  <si>
    <t>Status</t>
  </si>
  <si>
    <t>Recurring</t>
  </si>
  <si>
    <t>Tax Deductible</t>
  </si>
  <si>
    <t>Balance After Transaction (₹)</t>
  </si>
  <si>
    <t>Month</t>
  </si>
  <si>
    <t>Quarter</t>
  </si>
  <si>
    <t>Month No</t>
  </si>
  <si>
    <t>TXN0002</t>
  </si>
  <si>
    <t>Savings</t>
  </si>
  <si>
    <t>Axis</t>
  </si>
  <si>
    <t>Expense</t>
  </si>
  <si>
    <t>Rent</t>
  </si>
  <si>
    <t>House Rent</t>
  </si>
  <si>
    <t>Cash</t>
  </si>
  <si>
    <t>ABC Pvt Ltd</t>
  </si>
  <si>
    <t>Vacation</t>
  </si>
  <si>
    <t>Mumbai</t>
  </si>
  <si>
    <t>Completed</t>
  </si>
  <si>
    <t>Yes</t>
  </si>
  <si>
    <t>No</t>
  </si>
  <si>
    <t>TXN0003</t>
  </si>
  <si>
    <t>HDFC</t>
  </si>
  <si>
    <t>Income</t>
  </si>
  <si>
    <t>Interest</t>
  </si>
  <si>
    <t>Net Banking</t>
  </si>
  <si>
    <t>Pharmacy</t>
  </si>
  <si>
    <t>Emergency Fund</t>
  </si>
  <si>
    <t>Pune</t>
  </si>
  <si>
    <t>TXN0004</t>
  </si>
  <si>
    <t>Credit Card</t>
  </si>
  <si>
    <t>ICICI</t>
  </si>
  <si>
    <t>Fuel</t>
  </si>
  <si>
    <t>Petrol</t>
  </si>
  <si>
    <t>Debit Card</t>
  </si>
  <si>
    <t>Amazon</t>
  </si>
  <si>
    <t>Bengaluru</t>
  </si>
  <si>
    <t>TXN0006</t>
  </si>
  <si>
    <t>Bonus</t>
  </si>
  <si>
    <t>UPI</t>
  </si>
  <si>
    <t>Investment</t>
  </si>
  <si>
    <t>Hyderabad</t>
  </si>
  <si>
    <t>TXN0007</t>
  </si>
  <si>
    <t>Healthcare</t>
  </si>
  <si>
    <t>Bank Transfer</t>
  </si>
  <si>
    <t>Airtel</t>
  </si>
  <si>
    <t>Car</t>
  </si>
  <si>
    <t>TXN0008</t>
  </si>
  <si>
    <t>TXN0009</t>
  </si>
  <si>
    <t>Shopping</t>
  </si>
  <si>
    <t>Clothing</t>
  </si>
  <si>
    <t>Indian Oil</t>
  </si>
  <si>
    <t>TXN0011</t>
  </si>
  <si>
    <t>TXN0012</t>
  </si>
  <si>
    <t>Wallet</t>
  </si>
  <si>
    <t>TXN0013</t>
  </si>
  <si>
    <t>Internet</t>
  </si>
  <si>
    <t>Broadband</t>
  </si>
  <si>
    <t>TXN0014</t>
  </si>
  <si>
    <t>Dining</t>
  </si>
  <si>
    <t>Restaurant</t>
  </si>
  <si>
    <t>TXN0015</t>
  </si>
  <si>
    <t>TXN0017</t>
  </si>
  <si>
    <t>Freelancing</t>
  </si>
  <si>
    <t>Project</t>
  </si>
  <si>
    <t>TXN0018</t>
  </si>
  <si>
    <t>TXN0019</t>
  </si>
  <si>
    <t>TXN0020</t>
  </si>
  <si>
    <t>TXN0021</t>
  </si>
  <si>
    <t>TXN0022</t>
  </si>
  <si>
    <t>DMart</t>
  </si>
  <si>
    <t>TXN0023</t>
  </si>
  <si>
    <t>SBI</t>
  </si>
  <si>
    <t>TXN0024</t>
  </si>
  <si>
    <t>TXN0025</t>
  </si>
  <si>
    <t>TXN0026</t>
  </si>
  <si>
    <t>Flipkart</t>
  </si>
  <si>
    <t>TXN0027</t>
  </si>
  <si>
    <t>TXN0028</t>
  </si>
  <si>
    <t>Salary</t>
  </si>
  <si>
    <t>Monthly Salary</t>
  </si>
  <si>
    <t>TXN0029</t>
  </si>
  <si>
    <t>TXN0030</t>
  </si>
  <si>
    <t>TXN0031</t>
  </si>
  <si>
    <t>Electricity</t>
  </si>
  <si>
    <t>Bill</t>
  </si>
  <si>
    <t>TXN0033</t>
  </si>
  <si>
    <t>TXN0034</t>
  </si>
  <si>
    <t>TXN0035</t>
  </si>
  <si>
    <t>TXN0036</t>
  </si>
  <si>
    <t>Grocery</t>
  </si>
  <si>
    <t>Supermarket</t>
  </si>
  <si>
    <t>TXN0037</t>
  </si>
  <si>
    <t>TXN0038</t>
  </si>
  <si>
    <t>TXN0039</t>
  </si>
  <si>
    <t>TXN0040</t>
  </si>
  <si>
    <t>TXN0041</t>
  </si>
  <si>
    <t>Mutual Fund</t>
  </si>
  <si>
    <t>TXN0042</t>
  </si>
  <si>
    <t>TXN0043</t>
  </si>
  <si>
    <t>TXN0044</t>
  </si>
  <si>
    <t>TXN0046</t>
  </si>
  <si>
    <t>TXN0047</t>
  </si>
  <si>
    <t>TXN0048</t>
  </si>
  <si>
    <t>TXN0049</t>
  </si>
  <si>
    <t>TXN0050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</si>
  <si>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</si>
  <si>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</si>
  <si>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</si>
  <si>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</si>
  <si>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</si>
  <si>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</si>
  <si>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</si>
  <si>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</si>
  <si>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</si>
  <si>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</si>
  <si>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</si>
  <si>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</si>
  <si>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</si>
  <si>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</si>
  <si>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</si>
  <si>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</si>
  <si>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</si>
  <si>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</si>
  <si>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</si>
  <si>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</si>
  <si>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</si>
  <si>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</si>
  <si>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</si>
  <si>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</si>
  <si>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</si>
  <si>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</si>
  <si>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</si>
  <si>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</si>
  <si>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</si>
  <si>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</si>
  <si>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</si>
  <si>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</si>
  <si>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</si>
  <si>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</si>
  <si>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TXN0092</t>
  </si>
  <si>
    <t>TXN0093</t>
  </si>
  <si>
    <t>TXN0094</t>
  </si>
  <si>
    <t>TXN0095</t>
  </si>
  <si>
    <t>TXN0097</t>
  </si>
  <si>
    <t>TXN0098</t>
  </si>
  <si>
    <t>TXN0099</t>
  </si>
  <si>
    <t>TXN0100</t>
  </si>
  <si>
    <t>TXN0101</t>
  </si>
  <si>
    <t>TXN0102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</si>
  <si>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</si>
  <si>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</si>
  <si>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</si>
  <si>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</si>
  <si>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</si>
  <si>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</si>
  <si>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</si>
  <si>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</si>
  <si>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</si>
  <si>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</si>
  <si>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</si>
  <si>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</si>
  <si>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</si>
  <si>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</si>
  <si>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</si>
  <si>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</si>
  <si>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</si>
  <si>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</si>
  <si>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</si>
  <si>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</si>
  <si>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</si>
  <si>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</si>
  <si>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</si>
  <si>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</si>
  <si>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</si>
  <si>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</si>
  <si>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</si>
  <si>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</si>
  <si>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</si>
  <si>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</si>
  <si>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</si>
  <si>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</si>
  <si>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</si>
  <si>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</si>
  <si>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TXN0141</t>
  </si>
  <si>
    <t>TXN0142</t>
  </si>
  <si>
    <t>TXN0143</t>
  </si>
  <si>
    <t>TXN0144</t>
  </si>
  <si>
    <t>TXN0145</t>
  </si>
  <si>
    <t>TXN0147</t>
  </si>
  <si>
    <t>TXN0148</t>
  </si>
  <si>
    <t>TXN0150</t>
  </si>
  <si>
    <t>TXN0151</t>
  </si>
  <si>
    <t>TXN0152</t>
  </si>
  <si>
    <t>TXN0153</t>
  </si>
  <si>
    <t>TXN0154</t>
  </si>
  <si>
    <t>TXN0156</t>
  </si>
  <si>
    <t>TXN0157</t>
  </si>
  <si>
    <t>TXN0158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</si>
  <si>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</si>
  <si>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</si>
  <si>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</si>
  <si>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</si>
  <si>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</si>
  <si>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</si>
  <si>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</si>
  <si>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</si>
  <si>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</si>
  <si>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TXN0170</t>
  </si>
  <si>
    <t>TXN0171</t>
  </si>
  <si>
    <t>TXN0172</t>
  </si>
  <si>
    <t>TXN0175</t>
  </si>
  <si>
    <t>TXN0178</t>
  </si>
  <si>
    <t>TXN0179</t>
  </si>
  <si>
    <t>TXN0181</t>
  </si>
  <si>
    <t>TXN0183</t>
  </si>
  <si>
    <t>TXN0184</t>
  </si>
  <si>
    <t>TXN0185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</si>
  <si>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</si>
  <si>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</si>
  <si>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</si>
  <si>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</si>
  <si>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</si>
  <si>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</si>
  <si>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</si>
  <si>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</si>
  <si>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</si>
  <si>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</si>
  <si>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TXN0198</t>
  </si>
  <si>
    <t>TXN0199</t>
  </si>
  <si>
    <t>TXN0200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</si>
  <si>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</si>
  <si>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</si>
  <si>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</si>
  <si>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</si>
  <si>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</si>
  <si>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</si>
  <si>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</si>
  <si>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</si>
  <si>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</si>
  <si>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</si>
  <si>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</si>
  <si>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</si>
  <si>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</si>
  <si>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</si>
  <si>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</si>
  <si>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</si>
  <si>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</si>
  <si>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</si>
  <si>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</si>
  <si>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</si>
  <si>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</si>
  <si>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</si>
  <si>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</si>
  <si>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</si>
  <si>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</si>
  <si>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</si>
  <si>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</si>
  <si>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</si>
  <si>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</si>
  <si>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</si>
  <si>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</si>
  <si>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</si>
  <si>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</si>
  <si>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</si>
  <si>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</si>
  <si>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</si>
  <si>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</si>
  <si>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</si>
  <si>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</si>
  <si>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</si>
  <si>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</si>
  <si>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</si>
  <si>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</si>
  <si>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</si>
  <si>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</si>
  <si>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</si>
  <si>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</si>
  <si>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</si>
  <si>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</si>
  <si>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</si>
  <si>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</si>
  <si>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</si>
  <si>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</si>
  <si>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</si>
  <si>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</si>
  <si>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</si>
  <si>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</si>
  <si>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</si>
  <si>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</si>
  <si>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</si>
  <si>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</si>
  <si>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</si>
  <si>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</si>
  <si>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</si>
  <si>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</si>
  <si>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</si>
  <si>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</si>
  <si>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</si>
  <si>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</si>
  <si>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</si>
  <si>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</si>
  <si>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</si>
  <si>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</si>
  <si>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</si>
  <si>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</si>
  <si>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</si>
  <si>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TXN0281</t>
  </si>
  <si>
    <t>TXN0282</t>
  </si>
  <si>
    <t>TXN0283</t>
  </si>
  <si>
    <t>TXN0284</t>
  </si>
  <si>
    <t>TXN0285</t>
  </si>
  <si>
    <t>TXN0286</t>
  </si>
  <si>
    <t>TXN0287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</si>
  <si>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</si>
  <si>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</si>
  <si>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</si>
  <si>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</si>
  <si>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</si>
  <si>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</si>
  <si>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</si>
  <si>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</si>
  <si>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</si>
  <si>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</si>
  <si>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</si>
  <si>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</si>
  <si>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</si>
  <si>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</si>
  <si>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</si>
  <si>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</si>
  <si>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</si>
  <si>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</si>
  <si>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</si>
  <si>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</si>
  <si>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</si>
  <si>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</si>
  <si>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</si>
  <si>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</si>
  <si>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</si>
  <si>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</si>
  <si>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</si>
  <si>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</si>
  <si>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</si>
  <si>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</si>
  <si>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</si>
  <si>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</si>
  <si>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</si>
  <si>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</si>
  <si>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</si>
  <si>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</si>
  <si>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</si>
  <si>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TXN0330</t>
  </si>
  <si>
    <t>TXN0331</t>
  </si>
  <si>
    <t>TXN0332</t>
  </si>
  <si>
    <t>TXN0334</t>
  </si>
  <si>
    <t>TXN0336</t>
  </si>
  <si>
    <t>TXN0337</t>
  </si>
  <si>
    <t>TXN0338</t>
  </si>
  <si>
    <t>TXN0339</t>
  </si>
  <si>
    <t>TXN0340</t>
  </si>
  <si>
    <t>TXN0341</t>
  </si>
  <si>
    <t>TXN0342</t>
  </si>
  <si>
    <t>TXN0344</t>
  </si>
  <si>
    <t>TXN0345</t>
  </si>
  <si>
    <t>TXN0346</t>
  </si>
  <si>
    <t>TXN0347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</si>
  <si>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</si>
  <si>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</si>
  <si>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</si>
  <si>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</si>
  <si>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</si>
  <si>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</si>
  <si>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</si>
  <si>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</si>
  <si>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</si>
  <si>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</si>
  <si>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</si>
  <si>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</si>
  <si>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</si>
  <si>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</si>
  <si>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</si>
  <si>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</si>
  <si>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</si>
  <si>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</si>
  <si>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</si>
  <si>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</si>
  <si>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</si>
  <si>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</si>
  <si>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</si>
  <si>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</si>
  <si>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</si>
  <si>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</si>
  <si>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</si>
  <si>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</si>
  <si>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</si>
  <si>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</si>
  <si>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</si>
  <si>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</si>
  <si>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</si>
  <si>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</si>
  <si>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</si>
  <si>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</si>
  <si>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</si>
  <si>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</si>
  <si>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</si>
  <si>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</si>
  <si>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</si>
  <si>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</si>
  <si>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</si>
  <si>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</si>
  <si>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</si>
  <si>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</si>
  <si>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</si>
  <si>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</si>
  <si>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</si>
  <si>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</si>
  <si>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</si>
  <si>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</si>
  <si>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</si>
  <si>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</si>
  <si>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</si>
  <si>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</si>
  <si>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</si>
  <si>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</si>
  <si>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</si>
  <si>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</si>
  <si>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</si>
  <si>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TXN0415</t>
  </si>
  <si>
    <t>TXN0417</t>
  </si>
  <si>
    <t>TXN0418</t>
  </si>
  <si>
    <t>TXN0419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</si>
  <si>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</si>
  <si>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</si>
  <si>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</si>
  <si>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</si>
  <si>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</si>
  <si>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</si>
  <si>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</si>
  <si>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</si>
  <si>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</si>
  <si>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</si>
  <si>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</si>
  <si>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</si>
  <si>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</si>
  <si>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</si>
  <si>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</si>
  <si>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</si>
  <si>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</si>
  <si>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</si>
  <si>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</si>
  <si>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</si>
  <si>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</si>
  <si>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</si>
  <si>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</si>
  <si>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</si>
  <si>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</si>
  <si>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</si>
  <si>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</si>
  <si>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</si>
  <si>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</si>
  <si>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</si>
  <si>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</si>
  <si>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</si>
  <si>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</si>
  <si>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</si>
  <si>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</si>
  <si>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</si>
  <si>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</si>
  <si>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</si>
  <si>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</si>
  <si>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</si>
  <si>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</si>
  <si>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</si>
  <si>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</si>
  <si>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</si>
  <si>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</si>
  <si>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</si>
  <si>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</si>
  <si>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</si>
  <si>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</si>
  <si>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</si>
  <si>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</si>
  <si>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</si>
  <si>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</si>
  <si>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TXN0478</t>
  </si>
  <si>
    <t>TXN0479</t>
  </si>
  <si>
    <t>TXN0480</t>
  </si>
  <si>
    <t>TXN0481</t>
  </si>
  <si>
    <t>TXN0482</t>
  </si>
  <si>
    <t>TXN0483</t>
  </si>
  <si>
    <t>TXN0484</t>
  </si>
  <si>
    <t>TXN0486</t>
  </si>
  <si>
    <t>TXN0487</t>
  </si>
  <si>
    <t>TXN0490</t>
  </si>
  <si>
    <t>TXN0491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</si>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</sst>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,&quot;K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3C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\₹#,##0,&quot;K&quot;"/>
    </dxf>
    <dxf>
      <numFmt numFmtId="165" formatCode="\₹#,##0,&quot;K&quot;"/>
    </dxf>
    <dxf>
      <numFmt numFmtId="165" formatCode="\₹#,##0,&quot;K&quot;"/>
    </dxf>
    <dxf>
      <numFmt numFmtId="165" formatCode="\₹#,##0,&quot;K&quot;"/>
    </dxf>
    <dxf>
      <numFmt numFmtId="164" formatCode="dd\-mmm\-yyyy"/>
    </dxf>
    <dxf>
      <font>
        <b/>
        <color rgb="FFFFFFFF"/>
      </font>
      <fill>
        <patternFill patternType="solid">
          <fgColor indexed="64"/>
          <bgColor rgb="FF0A3C5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2BDFA-4AFC-4B86-8CD7-97F190E56E02}" name="tblTransactions" displayName="tblTransactions" ref="A1:V442" totalsRowShown="0" headerRowDxfId="5">
  <autoFilter ref="A1:V442" xr:uid="{0952BDFA-4AFC-4B86-8CD7-97F190E56E02}"/>
  <tableColumns count="22">
    <tableColumn id="1" xr3:uid="{641F7FB8-0F64-4CBB-8FF9-5FBD7D01F163}" name="Transaction ID"/>
    <tableColumn id="2" xr3:uid="{74B7F637-431D-4E4D-93FE-5BF27224F335}" name="Date" dataDxfId="4"/>
    <tableColumn id="4" xr3:uid="{E73284EE-6230-4AE9-9F86-76EE38F3FBA3}" name="Year"/>
    <tableColumn id="5" xr3:uid="{600F5FAE-5ACE-4487-96E1-146D2D909439}" name="Account"/>
    <tableColumn id="6" xr3:uid="{1A3569BB-ACB0-41A1-9C67-D09FBE14C68F}" name="Bank"/>
    <tableColumn id="7" xr3:uid="{796D8DED-90EA-4660-BF2C-0552E648262A}" name="Transaction Type"/>
    <tableColumn id="8" xr3:uid="{60F42A88-7BCF-4BAB-BF7D-97924471E3D3}" name="Category"/>
    <tableColumn id="9" xr3:uid="{196B7D27-29C6-444C-B326-F9DB6F02AEFB}" name="Sub Category"/>
    <tableColumn id="10" xr3:uid="{904A4831-EC21-499F-8A89-C81DBA5B9711}" name="Payment Method"/>
    <tableColumn id="11" xr3:uid="{8D16CD92-019F-4F73-A33B-78C2CDE93CC3}" name="Merchant"/>
    <tableColumn id="12" xr3:uid="{4ED186F8-5F6E-4B3E-9B88-47DC98CE0EAC}" name="Description"/>
    <tableColumn id="13" xr3:uid="{E693188E-8D9C-4492-A826-9D0F820E0038}" name="Amount (₹)" dataDxfId="3"/>
    <tableColumn id="14" xr3:uid="{577000FF-E18D-4BE3-ADC7-12D78468E503}" name="Budget (₹)" dataDxfId="2"/>
    <tableColumn id="15" xr3:uid="{5D121210-1065-4851-AF15-E39D6C20FB02}" name="Savings Goal"/>
    <tableColumn id="16" xr3:uid="{7520C716-8AE5-47BA-A1BA-7CB5293583B8}" name="Location"/>
    <tableColumn id="17" xr3:uid="{B17C5F7A-4DCE-42C9-AA52-EC75D970ADD5}" name="Status"/>
    <tableColumn id="18" xr3:uid="{0C6769C8-A40D-43C6-8600-D0A30B3C3074}" name="Recurring"/>
    <tableColumn id="19" xr3:uid="{6A50F6AB-29CA-4AF1-8F1D-71B31C009E3A}" name="Tax Deductible"/>
    <tableColumn id="20" xr3:uid="{31003EA7-66A7-485D-A674-499AB86A1713}" name="Balance After Transaction (₹)" dataDxfId="1"/>
    <tableColumn id="23" xr3:uid="{E1448CB0-B877-40DA-8470-38D3230876B1}" name="Month" dataDxfId="0">
      <calculatedColumnFormula>TEXT(tblTransactions[[#This Row],[Date]],"mmm")</calculatedColumnFormula>
    </tableColumn>
    <tableColumn id="21" xr3:uid="{867D1BDE-1D8B-44AA-A347-CBFEF9989099}" name="Quarter">
      <calculatedColumnFormula>"Q"&amp;ROUNDUP(MONTH(tblTransactions[[#This Row],[Date]])/3,0)</calculatedColumnFormula>
    </tableColumn>
    <tableColumn id="22" xr3:uid="{6783394C-1C89-4D30-B01C-9987A5351928}" name="Month No">
      <calculatedColumnFormula>MONTH(tblTransactions[[#This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908C-CB71-408E-8B23-3301FD93DE4F}">
  <dimension ref="A1:V442"/>
  <sheetViews>
    <sheetView tabSelected="1" workbookViewId="0">
      <selection activeCell="J12" sqref="J12"/>
    </sheetView>
  </sheetViews>
  <sheetFormatPr defaultRowHeight="14.6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t="s">
        <v>22</v>
      </c>
      <c r="B2" s="2">
        <v>46024</v>
      </c>
      <c r="C2">
        <v>2026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27</v>
      </c>
      <c r="L2" s="3">
        <v>9364</v>
      </c>
      <c r="M2" s="3">
        <v>9319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s="3">
        <v>-9364</v>
      </c>
      <c r="T2" t="str">
        <f>TEXT(tblTransactions[[#This Row],[Date]],"mmm")</f>
        <v>Jan</v>
      </c>
      <c r="U2" t="str">
        <f>"Q"&amp;ROUNDUP(MONTH(tblTransactions[[#This Row],[Date]])/3,0)</f>
        <v>Q1</v>
      </c>
      <c r="V2">
        <f>MONTH(tblTransactions[[#This Row],[Date]])</f>
        <v>1</v>
      </c>
    </row>
    <row r="3" spans="1:22" x14ac:dyDescent="0.4">
      <c r="A3" t="s">
        <v>35</v>
      </c>
      <c r="B3" s="2">
        <v>46025</v>
      </c>
      <c r="C3">
        <v>2026</v>
      </c>
      <c r="D3" t="s">
        <v>23</v>
      </c>
      <c r="E3" t="s">
        <v>36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38</v>
      </c>
      <c r="L3" s="3">
        <v>45404</v>
      </c>
      <c r="M3" s="3">
        <v>0</v>
      </c>
      <c r="N3" t="s">
        <v>41</v>
      </c>
      <c r="O3" t="s">
        <v>42</v>
      </c>
      <c r="P3" t="s">
        <v>32</v>
      </c>
      <c r="Q3" t="s">
        <v>34</v>
      </c>
      <c r="R3" t="s">
        <v>33</v>
      </c>
      <c r="S3" s="3">
        <v>36040</v>
      </c>
      <c r="T3" t="str">
        <f>TEXT(tblTransactions[[#This Row],[Date]],"mmm")</f>
        <v>Jan</v>
      </c>
      <c r="U3" t="str">
        <f>"Q"&amp;ROUNDUP(MONTH(tblTransactions[[#This Row],[Date]])/3,0)</f>
        <v>Q1</v>
      </c>
      <c r="V3">
        <f>MONTH(tblTransactions[[#This Row],[Date]])</f>
        <v>1</v>
      </c>
    </row>
    <row r="4" spans="1:22" x14ac:dyDescent="0.4">
      <c r="A4" t="s">
        <v>43</v>
      </c>
      <c r="B4" s="2">
        <v>46026</v>
      </c>
      <c r="C4">
        <v>2026</v>
      </c>
      <c r="D4" t="s">
        <v>44</v>
      </c>
      <c r="E4" t="s">
        <v>45</v>
      </c>
      <c r="F4" t="s">
        <v>25</v>
      </c>
      <c r="G4" t="s">
        <v>46</v>
      </c>
      <c r="H4" t="s">
        <v>47</v>
      </c>
      <c r="I4" t="s">
        <v>48</v>
      </c>
      <c r="J4" t="s">
        <v>49</v>
      </c>
      <c r="K4" t="s">
        <v>47</v>
      </c>
      <c r="L4" s="3">
        <v>3268</v>
      </c>
      <c r="M4" s="3">
        <v>2099</v>
      </c>
      <c r="N4" t="s">
        <v>30</v>
      </c>
      <c r="O4" t="s">
        <v>50</v>
      </c>
      <c r="P4" t="s">
        <v>32</v>
      </c>
      <c r="Q4" t="s">
        <v>33</v>
      </c>
      <c r="R4" t="s">
        <v>34</v>
      </c>
      <c r="S4" s="3">
        <v>32772</v>
      </c>
      <c r="T4" t="str">
        <f>TEXT(tblTransactions[[#This Row],[Date]],"mmm")</f>
        <v>Jan</v>
      </c>
      <c r="U4" t="str">
        <f>"Q"&amp;ROUNDUP(MONTH(tblTransactions[[#This Row],[Date]])/3,0)</f>
        <v>Q1</v>
      </c>
      <c r="V4">
        <f>MONTH(tblTransactions[[#This Row],[Date]])</f>
        <v>1</v>
      </c>
    </row>
    <row r="5" spans="1:22" x14ac:dyDescent="0.4">
      <c r="A5" t="s">
        <v>51</v>
      </c>
      <c r="B5" s="2">
        <v>46028</v>
      </c>
      <c r="C5">
        <v>2026</v>
      </c>
      <c r="D5" t="s">
        <v>23</v>
      </c>
      <c r="E5" t="s">
        <v>45</v>
      </c>
      <c r="F5" t="s">
        <v>37</v>
      </c>
      <c r="G5" t="s">
        <v>52</v>
      </c>
      <c r="H5" t="s">
        <v>52</v>
      </c>
      <c r="I5" t="s">
        <v>53</v>
      </c>
      <c r="J5" t="s">
        <v>40</v>
      </c>
      <c r="K5" t="s">
        <v>52</v>
      </c>
      <c r="L5" s="3">
        <v>20106</v>
      </c>
      <c r="M5" s="3">
        <v>0</v>
      </c>
      <c r="N5" t="s">
        <v>54</v>
      </c>
      <c r="O5" t="s">
        <v>55</v>
      </c>
      <c r="P5" t="s">
        <v>32</v>
      </c>
      <c r="Q5" t="s">
        <v>34</v>
      </c>
      <c r="R5" t="s">
        <v>34</v>
      </c>
      <c r="S5" s="3">
        <v>52878</v>
      </c>
      <c r="T5" t="str">
        <f>TEXT(tblTransactions[[#This Row],[Date]],"mmm")</f>
        <v>Jan</v>
      </c>
      <c r="U5" t="str">
        <f>"Q"&amp;ROUNDUP(MONTH(tblTransactions[[#This Row],[Date]])/3,0)</f>
        <v>Q1</v>
      </c>
      <c r="V5">
        <f>MONTH(tblTransactions[[#This Row],[Date]])</f>
        <v>1</v>
      </c>
    </row>
    <row r="6" spans="1:22" x14ac:dyDescent="0.4">
      <c r="A6" t="s">
        <v>56</v>
      </c>
      <c r="B6" s="2">
        <v>46029</v>
      </c>
      <c r="C6">
        <v>2026</v>
      </c>
      <c r="D6" t="s">
        <v>44</v>
      </c>
      <c r="E6" t="s">
        <v>24</v>
      </c>
      <c r="F6" t="s">
        <v>25</v>
      </c>
      <c r="G6" t="s">
        <v>57</v>
      </c>
      <c r="H6" t="s">
        <v>40</v>
      </c>
      <c r="I6" t="s">
        <v>58</v>
      </c>
      <c r="J6" t="s">
        <v>59</v>
      </c>
      <c r="K6" t="s">
        <v>40</v>
      </c>
      <c r="L6" s="3">
        <v>5110</v>
      </c>
      <c r="M6" s="3">
        <v>17993</v>
      </c>
      <c r="N6" t="s">
        <v>60</v>
      </c>
      <c r="O6" t="s">
        <v>55</v>
      </c>
      <c r="P6" t="s">
        <v>32</v>
      </c>
      <c r="Q6" t="s">
        <v>34</v>
      </c>
      <c r="R6" t="s">
        <v>34</v>
      </c>
      <c r="S6" s="3">
        <v>47768</v>
      </c>
      <c r="T6" t="str">
        <f>TEXT(tblTransactions[[#This Row],[Date]],"mmm")</f>
        <v>Jan</v>
      </c>
      <c r="U6" t="str">
        <f>"Q"&amp;ROUNDUP(MONTH(tblTransactions[[#This Row],[Date]])/3,0)</f>
        <v>Q1</v>
      </c>
      <c r="V6">
        <f>MONTH(tblTransactions[[#This Row],[Date]])</f>
        <v>1</v>
      </c>
    </row>
    <row r="7" spans="1:22" x14ac:dyDescent="0.4">
      <c r="A7" t="s">
        <v>61</v>
      </c>
      <c r="B7" s="2">
        <v>46030</v>
      </c>
      <c r="C7">
        <v>2026</v>
      </c>
      <c r="D7" t="s">
        <v>23</v>
      </c>
      <c r="E7" t="s">
        <v>24</v>
      </c>
      <c r="F7" t="s">
        <v>37</v>
      </c>
      <c r="G7" t="s">
        <v>52</v>
      </c>
      <c r="H7" t="s">
        <v>52</v>
      </c>
      <c r="I7" t="s">
        <v>39</v>
      </c>
      <c r="J7" t="s">
        <v>29</v>
      </c>
      <c r="K7" t="s">
        <v>52</v>
      </c>
      <c r="L7" s="3">
        <v>2852</v>
      </c>
      <c r="M7" s="3">
        <v>0</v>
      </c>
      <c r="N7" t="s">
        <v>30</v>
      </c>
      <c r="O7" t="s">
        <v>31</v>
      </c>
      <c r="P7" t="s">
        <v>32</v>
      </c>
      <c r="Q7" t="s">
        <v>33</v>
      </c>
      <c r="R7" t="s">
        <v>33</v>
      </c>
      <c r="S7" s="3">
        <v>50620</v>
      </c>
      <c r="T7" t="str">
        <f>TEXT(tblTransactions[[#This Row],[Date]],"mmm")</f>
        <v>Jan</v>
      </c>
      <c r="U7" t="str">
        <f>"Q"&amp;ROUNDUP(MONTH(tblTransactions[[#This Row],[Date]])/3,0)</f>
        <v>Q1</v>
      </c>
      <c r="V7">
        <f>MONTH(tblTransactions[[#This Row],[Date]])</f>
        <v>1</v>
      </c>
    </row>
    <row r="8" spans="1:22" x14ac:dyDescent="0.4">
      <c r="A8" t="s">
        <v>62</v>
      </c>
      <c r="B8" s="2">
        <v>46031</v>
      </c>
      <c r="C8">
        <v>2026</v>
      </c>
      <c r="D8" t="s">
        <v>44</v>
      </c>
      <c r="E8" t="s">
        <v>24</v>
      </c>
      <c r="F8" t="s">
        <v>25</v>
      </c>
      <c r="G8" t="s">
        <v>63</v>
      </c>
      <c r="H8" t="s">
        <v>64</v>
      </c>
      <c r="I8" t="s">
        <v>58</v>
      </c>
      <c r="J8" t="s">
        <v>65</v>
      </c>
      <c r="K8" t="s">
        <v>64</v>
      </c>
      <c r="L8" s="3">
        <v>14636</v>
      </c>
      <c r="M8" s="3">
        <v>13550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s="3">
        <v>35984</v>
      </c>
      <c r="T8" t="str">
        <f>TEXT(tblTransactions[[#This Row],[Date]],"mmm")</f>
        <v>Jan</v>
      </c>
      <c r="U8" t="str">
        <f>"Q"&amp;ROUNDUP(MONTH(tblTransactions[[#This Row],[Date]])/3,0)</f>
        <v>Q1</v>
      </c>
      <c r="V8">
        <f>MONTH(tblTransactions[[#This Row],[Date]])</f>
        <v>1</v>
      </c>
    </row>
    <row r="9" spans="1:22" x14ac:dyDescent="0.4">
      <c r="A9" t="s">
        <v>66</v>
      </c>
      <c r="B9" s="2">
        <v>46033</v>
      </c>
      <c r="C9">
        <v>2026</v>
      </c>
      <c r="D9" t="s">
        <v>23</v>
      </c>
      <c r="E9" t="s">
        <v>24</v>
      </c>
      <c r="F9" t="s">
        <v>25</v>
      </c>
      <c r="G9" t="s">
        <v>57</v>
      </c>
      <c r="H9" t="s">
        <v>40</v>
      </c>
      <c r="I9" t="s">
        <v>58</v>
      </c>
      <c r="J9" t="s">
        <v>40</v>
      </c>
      <c r="K9" t="s">
        <v>40</v>
      </c>
      <c r="L9" s="3">
        <v>15758</v>
      </c>
      <c r="M9" s="3">
        <v>16703</v>
      </c>
      <c r="N9" t="s">
        <v>60</v>
      </c>
      <c r="O9" t="s">
        <v>31</v>
      </c>
      <c r="P9" t="s">
        <v>32</v>
      </c>
      <c r="Q9" t="s">
        <v>34</v>
      </c>
      <c r="R9" t="s">
        <v>34</v>
      </c>
      <c r="S9" s="3">
        <v>20226</v>
      </c>
      <c r="T9" t="str">
        <f>TEXT(tblTransactions[[#This Row],[Date]],"mmm")</f>
        <v>Jan</v>
      </c>
      <c r="U9" t="str">
        <f>"Q"&amp;ROUNDUP(MONTH(tblTransactions[[#This Row],[Date]])/3,0)</f>
        <v>Q1</v>
      </c>
      <c r="V9">
        <f>MONTH(tblTransactions[[#This Row],[Date]])</f>
        <v>1</v>
      </c>
    </row>
    <row r="10" spans="1:22" x14ac:dyDescent="0.4">
      <c r="A10" t="s">
        <v>67</v>
      </c>
      <c r="B10" s="2">
        <v>46034</v>
      </c>
      <c r="C10">
        <v>2026</v>
      </c>
      <c r="D10" t="s">
        <v>68</v>
      </c>
      <c r="E10" t="s">
        <v>45</v>
      </c>
      <c r="F10" t="s">
        <v>25</v>
      </c>
      <c r="G10" t="s">
        <v>46</v>
      </c>
      <c r="H10" t="s">
        <v>47</v>
      </c>
      <c r="I10" t="s">
        <v>48</v>
      </c>
      <c r="J10" t="s">
        <v>59</v>
      </c>
      <c r="K10" t="s">
        <v>47</v>
      </c>
      <c r="L10" s="3">
        <v>5150</v>
      </c>
      <c r="M10" s="3">
        <v>14621</v>
      </c>
      <c r="N10" t="s">
        <v>60</v>
      </c>
      <c r="O10" t="s">
        <v>50</v>
      </c>
      <c r="P10" t="s">
        <v>32</v>
      </c>
      <c r="Q10" t="s">
        <v>34</v>
      </c>
      <c r="R10" t="s">
        <v>34</v>
      </c>
      <c r="S10" s="3">
        <v>15076</v>
      </c>
      <c r="T10" t="str">
        <f>TEXT(tblTransactions[[#This Row],[Date]],"mmm")</f>
        <v>Jan</v>
      </c>
      <c r="U10" t="str">
        <f>"Q"&amp;ROUNDUP(MONTH(tblTransactions[[#This Row],[Date]])/3,0)</f>
        <v>Q1</v>
      </c>
      <c r="V10">
        <f>MONTH(tblTransactions[[#This Row],[Date]])</f>
        <v>1</v>
      </c>
    </row>
    <row r="11" spans="1:22" x14ac:dyDescent="0.4">
      <c r="A11" t="s">
        <v>69</v>
      </c>
      <c r="B11" s="2">
        <v>46035</v>
      </c>
      <c r="C11">
        <v>2026</v>
      </c>
      <c r="D11" t="s">
        <v>44</v>
      </c>
      <c r="E11" t="s">
        <v>36</v>
      </c>
      <c r="F11" t="s">
        <v>25</v>
      </c>
      <c r="G11" t="s">
        <v>70</v>
      </c>
      <c r="H11" t="s">
        <v>71</v>
      </c>
      <c r="I11" t="s">
        <v>44</v>
      </c>
      <c r="J11" t="s">
        <v>59</v>
      </c>
      <c r="K11" t="s">
        <v>71</v>
      </c>
      <c r="L11" s="3">
        <v>17106</v>
      </c>
      <c r="M11" s="3">
        <v>5707</v>
      </c>
      <c r="N11" t="s">
        <v>60</v>
      </c>
      <c r="O11" t="s">
        <v>42</v>
      </c>
      <c r="P11" t="s">
        <v>32</v>
      </c>
      <c r="Q11" t="s">
        <v>34</v>
      </c>
      <c r="R11" t="s">
        <v>34</v>
      </c>
      <c r="S11" s="3">
        <v>-2030</v>
      </c>
      <c r="T11" t="str">
        <f>TEXT(tblTransactions[[#This Row],[Date]],"mmm")</f>
        <v>Jan</v>
      </c>
      <c r="U11" t="str">
        <f>"Q"&amp;ROUNDUP(MONTH(tblTransactions[[#This Row],[Date]])/3,0)</f>
        <v>Q1</v>
      </c>
      <c r="V11">
        <f>MONTH(tblTransactions[[#This Row],[Date]])</f>
        <v>1</v>
      </c>
    </row>
    <row r="12" spans="1:22" x14ac:dyDescent="0.4">
      <c r="A12" t="s">
        <v>72</v>
      </c>
      <c r="B12" s="2">
        <v>46036</v>
      </c>
      <c r="C12">
        <v>2026</v>
      </c>
      <c r="D12" t="s">
        <v>23</v>
      </c>
      <c r="E12" t="s">
        <v>36</v>
      </c>
      <c r="F12" t="s">
        <v>25</v>
      </c>
      <c r="G12" t="s">
        <v>73</v>
      </c>
      <c r="H12" t="s">
        <v>74</v>
      </c>
      <c r="I12" t="s">
        <v>44</v>
      </c>
      <c r="J12" t="s">
        <v>65</v>
      </c>
      <c r="K12" t="s">
        <v>74</v>
      </c>
      <c r="L12" s="3">
        <v>15011</v>
      </c>
      <c r="M12" s="3">
        <v>3591</v>
      </c>
      <c r="N12" t="s">
        <v>54</v>
      </c>
      <c r="O12" t="s">
        <v>42</v>
      </c>
      <c r="P12" t="s">
        <v>32</v>
      </c>
      <c r="Q12" t="s">
        <v>33</v>
      </c>
      <c r="R12" t="s">
        <v>34</v>
      </c>
      <c r="S12" s="3">
        <v>-17041</v>
      </c>
      <c r="T12" t="str">
        <f>TEXT(tblTransactions[[#This Row],[Date]],"mmm")</f>
        <v>Jan</v>
      </c>
      <c r="U12" t="str">
        <f>"Q"&amp;ROUNDUP(MONTH(tblTransactions[[#This Row],[Date]])/3,0)</f>
        <v>Q1</v>
      </c>
      <c r="V12">
        <f>MONTH(tblTransactions[[#This Row],[Date]])</f>
        <v>1</v>
      </c>
    </row>
    <row r="13" spans="1:22" x14ac:dyDescent="0.4">
      <c r="A13" t="s">
        <v>75</v>
      </c>
      <c r="B13" s="2">
        <v>46037</v>
      </c>
      <c r="C13">
        <v>2026</v>
      </c>
      <c r="D13" t="s">
        <v>68</v>
      </c>
      <c r="E13" t="s">
        <v>24</v>
      </c>
      <c r="F13" t="s">
        <v>37</v>
      </c>
      <c r="G13" t="s">
        <v>52</v>
      </c>
      <c r="H13" t="s">
        <v>52</v>
      </c>
      <c r="I13" t="s">
        <v>28</v>
      </c>
      <c r="J13" t="s">
        <v>74</v>
      </c>
      <c r="K13" t="s">
        <v>52</v>
      </c>
      <c r="L13" s="3">
        <v>32435</v>
      </c>
      <c r="M13" s="3">
        <v>0</v>
      </c>
      <c r="N13" t="s">
        <v>30</v>
      </c>
      <c r="O13" t="s">
        <v>55</v>
      </c>
      <c r="P13" t="s">
        <v>32</v>
      </c>
      <c r="Q13" t="s">
        <v>34</v>
      </c>
      <c r="R13" t="s">
        <v>34</v>
      </c>
      <c r="S13" s="3">
        <v>15394</v>
      </c>
      <c r="T13" t="str">
        <f>TEXT(tblTransactions[[#This Row],[Date]],"mmm")</f>
        <v>Jan</v>
      </c>
      <c r="U13" t="str">
        <f>"Q"&amp;ROUNDUP(MONTH(tblTransactions[[#This Row],[Date]])/3,0)</f>
        <v>Q1</v>
      </c>
      <c r="V13">
        <f>MONTH(tblTransactions[[#This Row],[Date]])</f>
        <v>1</v>
      </c>
    </row>
    <row r="14" spans="1:22" x14ac:dyDescent="0.4">
      <c r="A14" t="s">
        <v>76</v>
      </c>
      <c r="B14" s="2">
        <v>46039</v>
      </c>
      <c r="C14">
        <v>2026</v>
      </c>
      <c r="D14" t="s">
        <v>23</v>
      </c>
      <c r="E14" t="s">
        <v>45</v>
      </c>
      <c r="F14" t="s">
        <v>37</v>
      </c>
      <c r="G14" t="s">
        <v>77</v>
      </c>
      <c r="H14" t="s">
        <v>78</v>
      </c>
      <c r="I14" t="s">
        <v>28</v>
      </c>
      <c r="J14" t="s">
        <v>59</v>
      </c>
      <c r="K14" t="s">
        <v>78</v>
      </c>
      <c r="L14" s="3">
        <v>77168</v>
      </c>
      <c r="M14" s="3">
        <v>0</v>
      </c>
      <c r="N14" t="s">
        <v>30</v>
      </c>
      <c r="O14" t="s">
        <v>31</v>
      </c>
      <c r="P14" t="s">
        <v>32</v>
      </c>
      <c r="Q14" t="s">
        <v>34</v>
      </c>
      <c r="R14" t="s">
        <v>34</v>
      </c>
      <c r="S14" s="3">
        <v>92562</v>
      </c>
      <c r="T14" t="str">
        <f>TEXT(tblTransactions[[#This Row],[Date]],"mmm")</f>
        <v>Jan</v>
      </c>
      <c r="U14" t="str">
        <f>"Q"&amp;ROUNDUP(MONTH(tblTransactions[[#This Row],[Date]])/3,0)</f>
        <v>Q1</v>
      </c>
      <c r="V14">
        <f>MONTH(tblTransactions[[#This Row],[Date]])</f>
        <v>1</v>
      </c>
    </row>
    <row r="15" spans="1:22" x14ac:dyDescent="0.4">
      <c r="A15" t="s">
        <v>79</v>
      </c>
      <c r="B15" s="2">
        <v>46040</v>
      </c>
      <c r="C15">
        <v>2026</v>
      </c>
      <c r="D15" t="s">
        <v>44</v>
      </c>
      <c r="E15" t="s">
        <v>45</v>
      </c>
      <c r="F15" t="s">
        <v>37</v>
      </c>
      <c r="G15" t="s">
        <v>52</v>
      </c>
      <c r="H15" t="s">
        <v>52</v>
      </c>
      <c r="I15" t="s">
        <v>58</v>
      </c>
      <c r="J15" t="s">
        <v>49</v>
      </c>
      <c r="K15" t="s">
        <v>52</v>
      </c>
      <c r="L15" s="3">
        <v>23193</v>
      </c>
      <c r="M15" s="3">
        <v>0</v>
      </c>
      <c r="N15" t="s">
        <v>54</v>
      </c>
      <c r="O15" t="s">
        <v>50</v>
      </c>
      <c r="P15" t="s">
        <v>32</v>
      </c>
      <c r="Q15" t="s">
        <v>34</v>
      </c>
      <c r="R15" t="s">
        <v>34</v>
      </c>
      <c r="S15" s="3">
        <v>115755</v>
      </c>
      <c r="T15" t="str">
        <f>TEXT(tblTransactions[[#This Row],[Date]],"mmm")</f>
        <v>Jan</v>
      </c>
      <c r="U15" t="str">
        <f>"Q"&amp;ROUNDUP(MONTH(tblTransactions[[#This Row],[Date]])/3,0)</f>
        <v>Q1</v>
      </c>
      <c r="V15">
        <f>MONTH(tblTransactions[[#This Row],[Date]])</f>
        <v>1</v>
      </c>
    </row>
    <row r="16" spans="1:22" x14ac:dyDescent="0.4">
      <c r="A16" t="s">
        <v>80</v>
      </c>
      <c r="B16" s="2">
        <v>46041</v>
      </c>
      <c r="C16">
        <v>2026</v>
      </c>
      <c r="D16" t="s">
        <v>68</v>
      </c>
      <c r="E16" t="s">
        <v>24</v>
      </c>
      <c r="F16" t="s">
        <v>25</v>
      </c>
      <c r="G16" t="s">
        <v>70</v>
      </c>
      <c r="H16" t="s">
        <v>71</v>
      </c>
      <c r="I16" t="s">
        <v>48</v>
      </c>
      <c r="J16" t="s">
        <v>65</v>
      </c>
      <c r="K16" t="s">
        <v>71</v>
      </c>
      <c r="L16" s="3">
        <v>10755</v>
      </c>
      <c r="M16" s="3">
        <v>7595</v>
      </c>
      <c r="N16" t="s">
        <v>30</v>
      </c>
      <c r="O16" t="s">
        <v>42</v>
      </c>
      <c r="P16" t="s">
        <v>32</v>
      </c>
      <c r="Q16" t="s">
        <v>34</v>
      </c>
      <c r="R16" t="s">
        <v>34</v>
      </c>
      <c r="S16" s="3">
        <v>105000</v>
      </c>
      <c r="T16" t="str">
        <f>TEXT(tblTransactions[[#This Row],[Date]],"mmm")</f>
        <v>Jan</v>
      </c>
      <c r="U16" t="str">
        <f>"Q"&amp;ROUNDUP(MONTH(tblTransactions[[#This Row],[Date]])/3,0)</f>
        <v>Q1</v>
      </c>
      <c r="V16">
        <f>MONTH(tblTransactions[[#This Row],[Date]])</f>
        <v>1</v>
      </c>
    </row>
    <row r="17" spans="1:22" x14ac:dyDescent="0.4">
      <c r="A17" t="s">
        <v>81</v>
      </c>
      <c r="B17" s="2">
        <v>46042</v>
      </c>
      <c r="C17">
        <v>2026</v>
      </c>
      <c r="D17" t="s">
        <v>23</v>
      </c>
      <c r="E17" t="s">
        <v>24</v>
      </c>
      <c r="F17" t="s">
        <v>25</v>
      </c>
      <c r="G17" t="s">
        <v>73</v>
      </c>
      <c r="H17" t="s">
        <v>74</v>
      </c>
      <c r="I17" t="s">
        <v>58</v>
      </c>
      <c r="J17" t="s">
        <v>29</v>
      </c>
      <c r="K17" t="s">
        <v>74</v>
      </c>
      <c r="L17" s="3">
        <v>3921</v>
      </c>
      <c r="M17" s="3">
        <v>18782</v>
      </c>
      <c r="N17" t="s">
        <v>60</v>
      </c>
      <c r="O17" t="s">
        <v>50</v>
      </c>
      <c r="P17" t="s">
        <v>32</v>
      </c>
      <c r="Q17" t="s">
        <v>34</v>
      </c>
      <c r="R17" t="s">
        <v>34</v>
      </c>
      <c r="S17" s="3">
        <v>101079</v>
      </c>
      <c r="T17" t="str">
        <f>TEXT(tblTransactions[[#This Row],[Date]],"mmm")</f>
        <v>Jan</v>
      </c>
      <c r="U17" t="str">
        <f>"Q"&amp;ROUNDUP(MONTH(tblTransactions[[#This Row],[Date]])/3,0)</f>
        <v>Q1</v>
      </c>
      <c r="V17">
        <f>MONTH(tblTransactions[[#This Row],[Date]])</f>
        <v>1</v>
      </c>
    </row>
    <row r="18" spans="1:22" x14ac:dyDescent="0.4">
      <c r="A18" t="s">
        <v>82</v>
      </c>
      <c r="B18" s="2">
        <v>46043</v>
      </c>
      <c r="C18">
        <v>2026</v>
      </c>
      <c r="D18" t="s">
        <v>68</v>
      </c>
      <c r="E18" t="s">
        <v>45</v>
      </c>
      <c r="F18" t="s">
        <v>25</v>
      </c>
      <c r="G18" t="s">
        <v>73</v>
      </c>
      <c r="H18" t="s">
        <v>74</v>
      </c>
      <c r="I18" t="s">
        <v>28</v>
      </c>
      <c r="J18" t="s">
        <v>65</v>
      </c>
      <c r="K18" t="s">
        <v>74</v>
      </c>
      <c r="L18" s="3">
        <v>14231</v>
      </c>
      <c r="M18" s="3">
        <v>15993</v>
      </c>
      <c r="N18" t="s">
        <v>54</v>
      </c>
      <c r="O18" t="s">
        <v>50</v>
      </c>
      <c r="P18" t="s">
        <v>32</v>
      </c>
      <c r="Q18" t="s">
        <v>34</v>
      </c>
      <c r="R18" t="s">
        <v>34</v>
      </c>
      <c r="S18" s="3">
        <v>86848</v>
      </c>
      <c r="T18" t="str">
        <f>TEXT(tblTransactions[[#This Row],[Date]],"mmm")</f>
        <v>Jan</v>
      </c>
      <c r="U18" t="str">
        <f>"Q"&amp;ROUNDUP(MONTH(tblTransactions[[#This Row],[Date]])/3,0)</f>
        <v>Q1</v>
      </c>
      <c r="V18">
        <f>MONTH(tblTransactions[[#This Row],[Date]])</f>
        <v>1</v>
      </c>
    </row>
    <row r="19" spans="1:22" x14ac:dyDescent="0.4">
      <c r="A19" t="s">
        <v>83</v>
      </c>
      <c r="B19" s="2">
        <v>46044</v>
      </c>
      <c r="C19">
        <v>2026</v>
      </c>
      <c r="D19" t="s">
        <v>44</v>
      </c>
      <c r="E19" t="s">
        <v>36</v>
      </c>
      <c r="F19" t="s">
        <v>25</v>
      </c>
      <c r="G19" t="s">
        <v>63</v>
      </c>
      <c r="H19" t="s">
        <v>64</v>
      </c>
      <c r="I19" t="s">
        <v>53</v>
      </c>
      <c r="J19" t="s">
        <v>84</v>
      </c>
      <c r="K19" t="s">
        <v>64</v>
      </c>
      <c r="L19" s="3">
        <v>14097</v>
      </c>
      <c r="M19" s="3">
        <v>3688</v>
      </c>
      <c r="N19" t="s">
        <v>54</v>
      </c>
      <c r="O19" t="s">
        <v>55</v>
      </c>
      <c r="P19" t="s">
        <v>32</v>
      </c>
      <c r="Q19" t="s">
        <v>34</v>
      </c>
      <c r="R19" t="s">
        <v>33</v>
      </c>
      <c r="S19" s="3">
        <v>72751</v>
      </c>
      <c r="T19" t="str">
        <f>TEXT(tblTransactions[[#This Row],[Date]],"mmm")</f>
        <v>Jan</v>
      </c>
      <c r="U19" t="str">
        <f>"Q"&amp;ROUNDUP(MONTH(tblTransactions[[#This Row],[Date]])/3,0)</f>
        <v>Q1</v>
      </c>
      <c r="V19">
        <f>MONTH(tblTransactions[[#This Row],[Date]])</f>
        <v>1</v>
      </c>
    </row>
    <row r="20" spans="1:22" x14ac:dyDescent="0.4">
      <c r="A20" t="s">
        <v>85</v>
      </c>
      <c r="B20" s="2">
        <v>46045</v>
      </c>
      <c r="C20">
        <v>2026</v>
      </c>
      <c r="D20" t="s">
        <v>44</v>
      </c>
      <c r="E20" t="s">
        <v>86</v>
      </c>
      <c r="F20" t="s">
        <v>37</v>
      </c>
      <c r="G20" t="s">
        <v>38</v>
      </c>
      <c r="H20" t="s">
        <v>38</v>
      </c>
      <c r="I20" t="s">
        <v>44</v>
      </c>
      <c r="J20" t="s">
        <v>29</v>
      </c>
      <c r="K20" t="s">
        <v>38</v>
      </c>
      <c r="L20" s="3">
        <v>79609</v>
      </c>
      <c r="M20" s="3">
        <v>0</v>
      </c>
      <c r="N20" t="s">
        <v>54</v>
      </c>
      <c r="O20" t="s">
        <v>42</v>
      </c>
      <c r="P20" t="s">
        <v>32</v>
      </c>
      <c r="Q20" t="s">
        <v>34</v>
      </c>
      <c r="R20" t="s">
        <v>34</v>
      </c>
      <c r="S20" s="3">
        <v>152360</v>
      </c>
      <c r="T20" t="str">
        <f>TEXT(tblTransactions[[#This Row],[Date]],"mmm")</f>
        <v>Jan</v>
      </c>
      <c r="U20" t="str">
        <f>"Q"&amp;ROUNDUP(MONTH(tblTransactions[[#This Row],[Date]])/3,0)</f>
        <v>Q1</v>
      </c>
      <c r="V20">
        <f>MONTH(tblTransactions[[#This Row],[Date]])</f>
        <v>1</v>
      </c>
    </row>
    <row r="21" spans="1:22" x14ac:dyDescent="0.4">
      <c r="A21" t="s">
        <v>87</v>
      </c>
      <c r="B21" s="2">
        <v>46046</v>
      </c>
      <c r="C21">
        <v>2026</v>
      </c>
      <c r="D21" t="s">
        <v>68</v>
      </c>
      <c r="E21" t="s">
        <v>36</v>
      </c>
      <c r="F21" t="s">
        <v>25</v>
      </c>
      <c r="G21" t="s">
        <v>26</v>
      </c>
      <c r="H21" t="s">
        <v>27</v>
      </c>
      <c r="I21" t="s">
        <v>53</v>
      </c>
      <c r="J21" t="s">
        <v>65</v>
      </c>
      <c r="K21" t="s">
        <v>27</v>
      </c>
      <c r="L21" s="3">
        <v>11584</v>
      </c>
      <c r="M21" s="3">
        <v>11380</v>
      </c>
      <c r="N21" t="s">
        <v>60</v>
      </c>
      <c r="O21" t="s">
        <v>50</v>
      </c>
      <c r="P21" t="s">
        <v>32</v>
      </c>
      <c r="Q21" t="s">
        <v>33</v>
      </c>
      <c r="R21" t="s">
        <v>34</v>
      </c>
      <c r="S21" s="3">
        <v>140776</v>
      </c>
      <c r="T21" t="str">
        <f>TEXT(tblTransactions[[#This Row],[Date]],"mmm")</f>
        <v>Jan</v>
      </c>
      <c r="U21" t="str">
        <f>"Q"&amp;ROUNDUP(MONTH(tblTransactions[[#This Row],[Date]])/3,0)</f>
        <v>Q1</v>
      </c>
      <c r="V21">
        <f>MONTH(tblTransactions[[#This Row],[Date]])</f>
        <v>1</v>
      </c>
    </row>
    <row r="22" spans="1:22" x14ac:dyDescent="0.4">
      <c r="A22" t="s">
        <v>88</v>
      </c>
      <c r="B22" s="2">
        <v>46047</v>
      </c>
      <c r="C22">
        <v>2026</v>
      </c>
      <c r="D22" t="s">
        <v>68</v>
      </c>
      <c r="E22" t="s">
        <v>24</v>
      </c>
      <c r="F22" t="s">
        <v>25</v>
      </c>
      <c r="G22" t="s">
        <v>73</v>
      </c>
      <c r="H22" t="s">
        <v>74</v>
      </c>
      <c r="I22" t="s">
        <v>28</v>
      </c>
      <c r="J22" t="s">
        <v>74</v>
      </c>
      <c r="K22" t="s">
        <v>74</v>
      </c>
      <c r="L22" s="3">
        <v>3182</v>
      </c>
      <c r="M22" s="3">
        <v>4216</v>
      </c>
      <c r="N22" t="s">
        <v>60</v>
      </c>
      <c r="O22" t="s">
        <v>55</v>
      </c>
      <c r="P22" t="s">
        <v>32</v>
      </c>
      <c r="Q22" t="s">
        <v>34</v>
      </c>
      <c r="R22" t="s">
        <v>34</v>
      </c>
      <c r="S22" s="3">
        <v>137594</v>
      </c>
      <c r="T22" t="str">
        <f>TEXT(tblTransactions[[#This Row],[Date]],"mmm")</f>
        <v>Jan</v>
      </c>
      <c r="U22" t="str">
        <f>"Q"&amp;ROUNDUP(MONTH(tblTransactions[[#This Row],[Date]])/3,0)</f>
        <v>Q1</v>
      </c>
      <c r="V22">
        <f>MONTH(tblTransactions[[#This Row],[Date]])</f>
        <v>1</v>
      </c>
    </row>
    <row r="23" spans="1:22" x14ac:dyDescent="0.4">
      <c r="A23" t="s">
        <v>89</v>
      </c>
      <c r="B23" s="2">
        <v>46048</v>
      </c>
      <c r="C23">
        <v>2026</v>
      </c>
      <c r="D23" t="s">
        <v>23</v>
      </c>
      <c r="E23" t="s">
        <v>45</v>
      </c>
      <c r="F23" t="s">
        <v>25</v>
      </c>
      <c r="G23" t="s">
        <v>73</v>
      </c>
      <c r="H23" t="s">
        <v>74</v>
      </c>
      <c r="I23" t="s">
        <v>44</v>
      </c>
      <c r="J23" t="s">
        <v>90</v>
      </c>
      <c r="K23" t="s">
        <v>74</v>
      </c>
      <c r="L23" s="3">
        <v>4188</v>
      </c>
      <c r="M23" s="3">
        <v>10947</v>
      </c>
      <c r="N23" t="s">
        <v>30</v>
      </c>
      <c r="O23" t="s">
        <v>50</v>
      </c>
      <c r="P23" t="s">
        <v>32</v>
      </c>
      <c r="Q23" t="s">
        <v>34</v>
      </c>
      <c r="R23" t="s">
        <v>34</v>
      </c>
      <c r="S23" s="3">
        <v>133406</v>
      </c>
      <c r="T23" t="str">
        <f>TEXT(tblTransactions[[#This Row],[Date]],"mmm")</f>
        <v>Jan</v>
      </c>
      <c r="U23" t="str">
        <f>"Q"&amp;ROUNDUP(MONTH(tblTransactions[[#This Row],[Date]])/3,0)</f>
        <v>Q1</v>
      </c>
      <c r="V23">
        <f>MONTH(tblTransactions[[#This Row],[Date]])</f>
        <v>1</v>
      </c>
    </row>
    <row r="24" spans="1:22" x14ac:dyDescent="0.4">
      <c r="A24" t="s">
        <v>91</v>
      </c>
      <c r="B24" s="2">
        <v>46049</v>
      </c>
      <c r="C24">
        <v>2026</v>
      </c>
      <c r="D24" t="s">
        <v>23</v>
      </c>
      <c r="E24" t="s">
        <v>36</v>
      </c>
      <c r="F24" t="s">
        <v>25</v>
      </c>
      <c r="G24" t="s">
        <v>46</v>
      </c>
      <c r="H24" t="s">
        <v>47</v>
      </c>
      <c r="I24" t="s">
        <v>28</v>
      </c>
      <c r="J24" t="s">
        <v>40</v>
      </c>
      <c r="K24" t="s">
        <v>47</v>
      </c>
      <c r="L24" s="3">
        <v>18960</v>
      </c>
      <c r="M24" s="3">
        <v>15985</v>
      </c>
      <c r="N24" t="s">
        <v>30</v>
      </c>
      <c r="O24" t="s">
        <v>50</v>
      </c>
      <c r="P24" t="s">
        <v>32</v>
      </c>
      <c r="Q24" t="s">
        <v>34</v>
      </c>
      <c r="R24" t="s">
        <v>34</v>
      </c>
      <c r="S24" s="3">
        <v>114446</v>
      </c>
      <c r="T24" t="str">
        <f>TEXT(tblTransactions[[#This Row],[Date]],"mmm")</f>
        <v>Jan</v>
      </c>
      <c r="U24" t="str">
        <f>"Q"&amp;ROUNDUP(MONTH(tblTransactions[[#This Row],[Date]])/3,0)</f>
        <v>Q1</v>
      </c>
      <c r="V24">
        <f>MONTH(tblTransactions[[#This Row],[Date]])</f>
        <v>1</v>
      </c>
    </row>
    <row r="25" spans="1:22" x14ac:dyDescent="0.4">
      <c r="A25" t="s">
        <v>92</v>
      </c>
      <c r="B25" s="2">
        <v>46050</v>
      </c>
      <c r="C25">
        <v>2026</v>
      </c>
      <c r="D25" t="s">
        <v>44</v>
      </c>
      <c r="E25" t="s">
        <v>86</v>
      </c>
      <c r="F25" t="s">
        <v>37</v>
      </c>
      <c r="G25" t="s">
        <v>93</v>
      </c>
      <c r="H25" t="s">
        <v>94</v>
      </c>
      <c r="I25" t="s">
        <v>28</v>
      </c>
      <c r="J25" t="s">
        <v>84</v>
      </c>
      <c r="K25" t="s">
        <v>94</v>
      </c>
      <c r="L25" s="3">
        <v>10294</v>
      </c>
      <c r="M25" s="3">
        <v>0</v>
      </c>
      <c r="N25" t="s">
        <v>41</v>
      </c>
      <c r="O25" t="s">
        <v>31</v>
      </c>
      <c r="P25" t="s">
        <v>32</v>
      </c>
      <c r="Q25" t="s">
        <v>34</v>
      </c>
      <c r="R25" t="s">
        <v>33</v>
      </c>
      <c r="S25" s="3">
        <v>124740</v>
      </c>
      <c r="T25" t="str">
        <f>TEXT(tblTransactions[[#This Row],[Date]],"mmm")</f>
        <v>Jan</v>
      </c>
      <c r="U25" t="str">
        <f>"Q"&amp;ROUNDUP(MONTH(tblTransactions[[#This Row],[Date]])/3,0)</f>
        <v>Q1</v>
      </c>
      <c r="V25">
        <f>MONTH(tblTransactions[[#This Row],[Date]])</f>
        <v>1</v>
      </c>
    </row>
    <row r="26" spans="1:22" x14ac:dyDescent="0.4">
      <c r="A26" t="s">
        <v>95</v>
      </c>
      <c r="B26" s="2">
        <v>46051</v>
      </c>
      <c r="C26">
        <v>2026</v>
      </c>
      <c r="D26" t="s">
        <v>23</v>
      </c>
      <c r="E26" t="s">
        <v>45</v>
      </c>
      <c r="F26" t="s">
        <v>25</v>
      </c>
      <c r="G26" t="s">
        <v>70</v>
      </c>
      <c r="H26" t="s">
        <v>71</v>
      </c>
      <c r="I26" t="s">
        <v>48</v>
      </c>
      <c r="J26" t="s">
        <v>84</v>
      </c>
      <c r="K26" t="s">
        <v>71</v>
      </c>
      <c r="L26" s="3">
        <v>2105</v>
      </c>
      <c r="M26" s="3">
        <v>2843</v>
      </c>
      <c r="N26" t="s">
        <v>54</v>
      </c>
      <c r="O26" t="s">
        <v>42</v>
      </c>
      <c r="P26" t="s">
        <v>32</v>
      </c>
      <c r="Q26" t="s">
        <v>34</v>
      </c>
      <c r="R26" t="s">
        <v>34</v>
      </c>
      <c r="S26" s="3">
        <v>122635</v>
      </c>
      <c r="T26" t="str">
        <f>TEXT(tblTransactions[[#This Row],[Date]],"mmm")</f>
        <v>Jan</v>
      </c>
      <c r="U26" t="str">
        <f>"Q"&amp;ROUNDUP(MONTH(tblTransactions[[#This Row],[Date]])/3,0)</f>
        <v>Q1</v>
      </c>
      <c r="V26">
        <f>MONTH(tblTransactions[[#This Row],[Date]])</f>
        <v>1</v>
      </c>
    </row>
    <row r="27" spans="1:22" x14ac:dyDescent="0.4">
      <c r="A27" t="s">
        <v>96</v>
      </c>
      <c r="B27" s="2">
        <v>46052</v>
      </c>
      <c r="C27">
        <v>2026</v>
      </c>
      <c r="D27" t="s">
        <v>68</v>
      </c>
      <c r="E27" t="s">
        <v>24</v>
      </c>
      <c r="F27" t="s">
        <v>37</v>
      </c>
      <c r="G27" t="s">
        <v>77</v>
      </c>
      <c r="H27" t="s">
        <v>78</v>
      </c>
      <c r="I27" t="s">
        <v>53</v>
      </c>
      <c r="J27" t="s">
        <v>74</v>
      </c>
      <c r="K27" t="s">
        <v>78</v>
      </c>
      <c r="L27" s="3">
        <v>30067</v>
      </c>
      <c r="M27" s="3">
        <v>0</v>
      </c>
      <c r="N27" t="s">
        <v>54</v>
      </c>
      <c r="O27" t="s">
        <v>55</v>
      </c>
      <c r="P27" t="s">
        <v>32</v>
      </c>
      <c r="Q27" t="s">
        <v>34</v>
      </c>
      <c r="R27" t="s">
        <v>34</v>
      </c>
      <c r="S27" s="3">
        <v>152702</v>
      </c>
      <c r="T27" t="str">
        <f>TEXT(tblTransactions[[#This Row],[Date]],"mmm")</f>
        <v>Jan</v>
      </c>
      <c r="U27" t="str">
        <f>"Q"&amp;ROUNDUP(MONTH(tblTransactions[[#This Row],[Date]])/3,0)</f>
        <v>Q1</v>
      </c>
      <c r="V27">
        <f>MONTH(tblTransactions[[#This Row],[Date]])</f>
        <v>1</v>
      </c>
    </row>
    <row r="28" spans="1:22" x14ac:dyDescent="0.4">
      <c r="A28" t="s">
        <v>97</v>
      </c>
      <c r="B28" s="2">
        <v>46053</v>
      </c>
      <c r="C28">
        <v>2026</v>
      </c>
      <c r="D28" t="s">
        <v>44</v>
      </c>
      <c r="E28" t="s">
        <v>36</v>
      </c>
      <c r="F28" t="s">
        <v>25</v>
      </c>
      <c r="G28" t="s">
        <v>98</v>
      </c>
      <c r="H28" t="s">
        <v>99</v>
      </c>
      <c r="I28" t="s">
        <v>53</v>
      </c>
      <c r="J28" t="s">
        <v>29</v>
      </c>
      <c r="K28" t="s">
        <v>99</v>
      </c>
      <c r="L28" s="3">
        <v>19057</v>
      </c>
      <c r="M28" s="3">
        <v>8453</v>
      </c>
      <c r="N28" t="s">
        <v>30</v>
      </c>
      <c r="O28" t="s">
        <v>50</v>
      </c>
      <c r="P28" t="s">
        <v>32</v>
      </c>
      <c r="Q28" t="s">
        <v>34</v>
      </c>
      <c r="R28" t="s">
        <v>34</v>
      </c>
      <c r="S28" s="3">
        <v>133645</v>
      </c>
      <c r="T28" t="str">
        <f>TEXT(tblTransactions[[#This Row],[Date]],"mmm")</f>
        <v>Jan</v>
      </c>
      <c r="U28" t="str">
        <f>"Q"&amp;ROUNDUP(MONTH(tblTransactions[[#This Row],[Date]])/3,0)</f>
        <v>Q1</v>
      </c>
      <c r="V28">
        <f>MONTH(tblTransactions[[#This Row],[Date]])</f>
        <v>1</v>
      </c>
    </row>
    <row r="29" spans="1:22" x14ac:dyDescent="0.4">
      <c r="A29" t="s">
        <v>100</v>
      </c>
      <c r="B29" s="2">
        <v>46055</v>
      </c>
      <c r="C29">
        <v>2026</v>
      </c>
      <c r="D29" t="s">
        <v>68</v>
      </c>
      <c r="E29" t="s">
        <v>86</v>
      </c>
      <c r="F29" t="s">
        <v>37</v>
      </c>
      <c r="G29" t="s">
        <v>93</v>
      </c>
      <c r="H29" t="s">
        <v>94</v>
      </c>
      <c r="I29" t="s">
        <v>58</v>
      </c>
      <c r="J29" t="s">
        <v>74</v>
      </c>
      <c r="K29" t="s">
        <v>94</v>
      </c>
      <c r="L29" s="3">
        <v>58534</v>
      </c>
      <c r="M29" s="3">
        <v>0</v>
      </c>
      <c r="N29" t="s">
        <v>30</v>
      </c>
      <c r="O29" t="s">
        <v>42</v>
      </c>
      <c r="P29" t="s">
        <v>32</v>
      </c>
      <c r="Q29" t="s">
        <v>34</v>
      </c>
      <c r="R29" t="s">
        <v>34</v>
      </c>
      <c r="S29" s="3">
        <v>192179</v>
      </c>
      <c r="T29" t="str">
        <f>TEXT(tblTransactions[[#This Row],[Date]],"mmm")</f>
        <v>Feb</v>
      </c>
      <c r="U29" t="str">
        <f>"Q"&amp;ROUNDUP(MONTH(tblTransactions[[#This Row],[Date]])/3,0)</f>
        <v>Q1</v>
      </c>
      <c r="V29">
        <f>MONTH(tblTransactions[[#This Row],[Date]])</f>
        <v>2</v>
      </c>
    </row>
    <row r="30" spans="1:22" x14ac:dyDescent="0.4">
      <c r="A30" t="s">
        <v>101</v>
      </c>
      <c r="B30" s="2">
        <v>46056</v>
      </c>
      <c r="C30">
        <v>2026</v>
      </c>
      <c r="D30" t="s">
        <v>44</v>
      </c>
      <c r="E30" t="s">
        <v>24</v>
      </c>
      <c r="F30" t="s">
        <v>25</v>
      </c>
      <c r="G30" t="s">
        <v>26</v>
      </c>
      <c r="H30" t="s">
        <v>27</v>
      </c>
      <c r="I30" t="s">
        <v>48</v>
      </c>
      <c r="J30" t="s">
        <v>74</v>
      </c>
      <c r="K30" t="s">
        <v>27</v>
      </c>
      <c r="L30" s="3">
        <v>4017</v>
      </c>
      <c r="M30" s="3">
        <v>3672</v>
      </c>
      <c r="N30" t="s">
        <v>60</v>
      </c>
      <c r="O30" t="s">
        <v>55</v>
      </c>
      <c r="P30" t="s">
        <v>32</v>
      </c>
      <c r="Q30" t="s">
        <v>34</v>
      </c>
      <c r="R30" t="s">
        <v>34</v>
      </c>
      <c r="S30" s="3">
        <v>188162</v>
      </c>
      <c r="T30" t="str">
        <f>TEXT(tblTransactions[[#This Row],[Date]],"mmm")</f>
        <v>Feb</v>
      </c>
      <c r="U30" t="str">
        <f>"Q"&amp;ROUNDUP(MONTH(tblTransactions[[#This Row],[Date]])/3,0)</f>
        <v>Q1</v>
      </c>
      <c r="V30">
        <f>MONTH(tblTransactions[[#This Row],[Date]])</f>
        <v>2</v>
      </c>
    </row>
    <row r="31" spans="1:22" x14ac:dyDescent="0.4">
      <c r="A31" t="s">
        <v>102</v>
      </c>
      <c r="B31" s="2">
        <v>46057</v>
      </c>
      <c r="C31">
        <v>2026</v>
      </c>
      <c r="D31" t="s">
        <v>44</v>
      </c>
      <c r="E31" t="s">
        <v>45</v>
      </c>
      <c r="F31" t="s">
        <v>25</v>
      </c>
      <c r="G31" t="s">
        <v>73</v>
      </c>
      <c r="H31" t="s">
        <v>74</v>
      </c>
      <c r="I31" t="s">
        <v>48</v>
      </c>
      <c r="J31" t="s">
        <v>74</v>
      </c>
      <c r="K31" t="s">
        <v>74</v>
      </c>
      <c r="L31" s="3">
        <v>6307</v>
      </c>
      <c r="M31" s="3">
        <v>1819</v>
      </c>
      <c r="N31" t="s">
        <v>41</v>
      </c>
      <c r="O31" t="s">
        <v>31</v>
      </c>
      <c r="P31" t="s">
        <v>32</v>
      </c>
      <c r="Q31" t="s">
        <v>34</v>
      </c>
      <c r="R31" t="s">
        <v>33</v>
      </c>
      <c r="S31" s="3">
        <v>181855</v>
      </c>
      <c r="T31" t="str">
        <f>TEXT(tblTransactions[[#This Row],[Date]],"mmm")</f>
        <v>Feb</v>
      </c>
      <c r="U31" t="str">
        <f>"Q"&amp;ROUNDUP(MONTH(tblTransactions[[#This Row],[Date]])/3,0)</f>
        <v>Q1</v>
      </c>
      <c r="V31">
        <f>MONTH(tblTransactions[[#This Row],[Date]])</f>
        <v>2</v>
      </c>
    </row>
    <row r="32" spans="1:22" x14ac:dyDescent="0.4">
      <c r="A32" t="s">
        <v>103</v>
      </c>
      <c r="B32" s="2">
        <v>46058</v>
      </c>
      <c r="C32">
        <v>2026</v>
      </c>
      <c r="D32" t="s">
        <v>23</v>
      </c>
      <c r="E32" t="s">
        <v>45</v>
      </c>
      <c r="F32" t="s">
        <v>25</v>
      </c>
      <c r="G32" t="s">
        <v>104</v>
      </c>
      <c r="H32" t="s">
        <v>105</v>
      </c>
      <c r="I32" t="s">
        <v>39</v>
      </c>
      <c r="J32" t="s">
        <v>90</v>
      </c>
      <c r="K32" t="s">
        <v>105</v>
      </c>
      <c r="L32" s="3">
        <v>7434</v>
      </c>
      <c r="M32" s="3">
        <v>12112</v>
      </c>
      <c r="N32" t="s">
        <v>54</v>
      </c>
      <c r="O32" t="s">
        <v>42</v>
      </c>
      <c r="P32" t="s">
        <v>32</v>
      </c>
      <c r="Q32" t="s">
        <v>34</v>
      </c>
      <c r="R32" t="s">
        <v>34</v>
      </c>
      <c r="S32" s="3">
        <v>174421</v>
      </c>
      <c r="T32" t="str">
        <f>TEXT(tblTransactions[[#This Row],[Date]],"mmm")</f>
        <v>Feb</v>
      </c>
      <c r="U32" t="str">
        <f>"Q"&amp;ROUNDUP(MONTH(tblTransactions[[#This Row],[Date]])/3,0)</f>
        <v>Q1</v>
      </c>
      <c r="V32">
        <f>MONTH(tblTransactions[[#This Row],[Date]])</f>
        <v>2</v>
      </c>
    </row>
    <row r="33" spans="1:22" x14ac:dyDescent="0.4">
      <c r="A33" t="s">
        <v>106</v>
      </c>
      <c r="B33" s="2">
        <v>46059</v>
      </c>
      <c r="C33">
        <v>2026</v>
      </c>
      <c r="D33" t="s">
        <v>23</v>
      </c>
      <c r="E33" t="s">
        <v>36</v>
      </c>
      <c r="F33" t="s">
        <v>25</v>
      </c>
      <c r="G33" t="s">
        <v>98</v>
      </c>
      <c r="H33" t="s">
        <v>99</v>
      </c>
      <c r="I33" t="s">
        <v>48</v>
      </c>
      <c r="J33" t="s">
        <v>65</v>
      </c>
      <c r="K33" t="s">
        <v>99</v>
      </c>
      <c r="L33" s="3">
        <v>9327</v>
      </c>
      <c r="M33" s="3">
        <v>1488</v>
      </c>
      <c r="N33" t="s">
        <v>54</v>
      </c>
      <c r="O33" t="s">
        <v>55</v>
      </c>
      <c r="P33" t="s">
        <v>32</v>
      </c>
      <c r="Q33" t="s">
        <v>33</v>
      </c>
      <c r="R33" t="s">
        <v>34</v>
      </c>
      <c r="S33" s="3">
        <v>165094</v>
      </c>
      <c r="T33" t="str">
        <f>TEXT(tblTransactions[[#This Row],[Date]],"mmm")</f>
        <v>Feb</v>
      </c>
      <c r="U33" t="str">
        <f>"Q"&amp;ROUNDUP(MONTH(tblTransactions[[#This Row],[Date]])/3,0)</f>
        <v>Q1</v>
      </c>
      <c r="V33">
        <f>MONTH(tblTransactions[[#This Row],[Date]])</f>
        <v>2</v>
      </c>
    </row>
    <row r="34" spans="1:22" x14ac:dyDescent="0.4">
      <c r="A34" t="s">
        <v>107</v>
      </c>
      <c r="B34" s="2">
        <v>46060</v>
      </c>
      <c r="C34">
        <v>2026</v>
      </c>
      <c r="D34" t="s">
        <v>44</v>
      </c>
      <c r="E34" t="s">
        <v>45</v>
      </c>
      <c r="F34" t="s">
        <v>25</v>
      </c>
      <c r="G34" t="s">
        <v>98</v>
      </c>
      <c r="H34" t="s">
        <v>99</v>
      </c>
      <c r="I34" t="s">
        <v>53</v>
      </c>
      <c r="J34" t="s">
        <v>40</v>
      </c>
      <c r="K34" t="s">
        <v>99</v>
      </c>
      <c r="L34" s="3">
        <v>19154</v>
      </c>
      <c r="M34" s="3">
        <v>16630</v>
      </c>
      <c r="N34" t="s">
        <v>54</v>
      </c>
      <c r="O34" t="s">
        <v>50</v>
      </c>
      <c r="P34" t="s">
        <v>32</v>
      </c>
      <c r="Q34" t="s">
        <v>33</v>
      </c>
      <c r="R34" t="s">
        <v>33</v>
      </c>
      <c r="S34" s="3">
        <v>145940</v>
      </c>
      <c r="T34" t="str">
        <f>TEXT(tblTransactions[[#This Row],[Date]],"mmm")</f>
        <v>Feb</v>
      </c>
      <c r="U34" t="str">
        <f>"Q"&amp;ROUNDUP(MONTH(tblTransactions[[#This Row],[Date]])/3,0)</f>
        <v>Q1</v>
      </c>
      <c r="V34">
        <f>MONTH(tblTransactions[[#This Row],[Date]])</f>
        <v>2</v>
      </c>
    </row>
    <row r="35" spans="1:22" x14ac:dyDescent="0.4">
      <c r="A35" t="s">
        <v>108</v>
      </c>
      <c r="B35" s="2">
        <v>46061</v>
      </c>
      <c r="C35">
        <v>2026</v>
      </c>
      <c r="D35" t="s">
        <v>68</v>
      </c>
      <c r="E35" t="s">
        <v>24</v>
      </c>
      <c r="F35" t="s">
        <v>37</v>
      </c>
      <c r="G35" t="s">
        <v>77</v>
      </c>
      <c r="H35" t="s">
        <v>78</v>
      </c>
      <c r="I35" t="s">
        <v>44</v>
      </c>
      <c r="J35" t="s">
        <v>65</v>
      </c>
      <c r="K35" t="s">
        <v>78</v>
      </c>
      <c r="L35" s="3">
        <v>14602</v>
      </c>
      <c r="M35" s="3">
        <v>0</v>
      </c>
      <c r="N35" t="s">
        <v>41</v>
      </c>
      <c r="O35" t="s">
        <v>50</v>
      </c>
      <c r="P35" t="s">
        <v>32</v>
      </c>
      <c r="Q35" t="s">
        <v>34</v>
      </c>
      <c r="R35" t="s">
        <v>33</v>
      </c>
      <c r="S35" s="3">
        <v>160542</v>
      </c>
      <c r="T35" t="str">
        <f>TEXT(tblTransactions[[#This Row],[Date]],"mmm")</f>
        <v>Feb</v>
      </c>
      <c r="U35" t="str">
        <f>"Q"&amp;ROUNDUP(MONTH(tblTransactions[[#This Row],[Date]])/3,0)</f>
        <v>Q1</v>
      </c>
      <c r="V35">
        <f>MONTH(tblTransactions[[#This Row],[Date]])</f>
        <v>2</v>
      </c>
    </row>
    <row r="36" spans="1:22" x14ac:dyDescent="0.4">
      <c r="A36" t="s">
        <v>109</v>
      </c>
      <c r="B36" s="2">
        <v>46062</v>
      </c>
      <c r="C36">
        <v>2026</v>
      </c>
      <c r="D36" t="s">
        <v>44</v>
      </c>
      <c r="E36" t="s">
        <v>45</v>
      </c>
      <c r="F36" t="s">
        <v>37</v>
      </c>
      <c r="G36" t="s">
        <v>93</v>
      </c>
      <c r="H36" t="s">
        <v>94</v>
      </c>
      <c r="I36" t="s">
        <v>53</v>
      </c>
      <c r="J36" t="s">
        <v>59</v>
      </c>
      <c r="K36" t="s">
        <v>94</v>
      </c>
      <c r="L36" s="3">
        <v>46686</v>
      </c>
      <c r="M36" s="3">
        <v>0</v>
      </c>
      <c r="N36" t="s">
        <v>60</v>
      </c>
      <c r="O36" t="s">
        <v>55</v>
      </c>
      <c r="P36" t="s">
        <v>32</v>
      </c>
      <c r="Q36" t="s">
        <v>33</v>
      </c>
      <c r="R36" t="s">
        <v>34</v>
      </c>
      <c r="S36" s="3">
        <v>207228</v>
      </c>
      <c r="T36" t="str">
        <f>TEXT(tblTransactions[[#This Row],[Date]],"mmm")</f>
        <v>Feb</v>
      </c>
      <c r="U36" t="str">
        <f>"Q"&amp;ROUNDUP(MONTH(tblTransactions[[#This Row],[Date]])/3,0)</f>
        <v>Q1</v>
      </c>
      <c r="V36">
        <f>MONTH(tblTransactions[[#This Row],[Date]])</f>
        <v>2</v>
      </c>
    </row>
    <row r="37" spans="1:22" x14ac:dyDescent="0.4">
      <c r="A37" t="s">
        <v>110</v>
      </c>
      <c r="B37" s="2">
        <v>46063</v>
      </c>
      <c r="C37">
        <v>2026</v>
      </c>
      <c r="D37" t="s">
        <v>68</v>
      </c>
      <c r="E37" t="s">
        <v>86</v>
      </c>
      <c r="F37" t="s">
        <v>37</v>
      </c>
      <c r="G37" t="s">
        <v>93</v>
      </c>
      <c r="H37" t="s">
        <v>94</v>
      </c>
      <c r="I37" t="s">
        <v>53</v>
      </c>
      <c r="J37" t="s">
        <v>111</v>
      </c>
      <c r="K37" t="s">
        <v>94</v>
      </c>
      <c r="L37" s="3">
        <v>32026</v>
      </c>
      <c r="M37" s="3">
        <v>0</v>
      </c>
      <c r="N37" t="s">
        <v>30</v>
      </c>
      <c r="O37" t="s">
        <v>50</v>
      </c>
      <c r="P37" t="s">
        <v>32</v>
      </c>
      <c r="Q37" t="s">
        <v>34</v>
      </c>
      <c r="R37" t="s">
        <v>34</v>
      </c>
      <c r="S37" s="3">
        <v>239254</v>
      </c>
      <c r="T37" t="str">
        <f>TEXT(tblTransactions[[#This Row],[Date]],"mmm")</f>
        <v>Feb</v>
      </c>
      <c r="U37" t="str">
        <f>"Q"&amp;ROUNDUP(MONTH(tblTransactions[[#This Row],[Date]])/3,0)</f>
        <v>Q1</v>
      </c>
      <c r="V37">
        <f>MONTH(tblTransactions[[#This Row],[Date]])</f>
        <v>2</v>
      </c>
    </row>
    <row r="38" spans="1:22" x14ac:dyDescent="0.4">
      <c r="A38" t="s">
        <v>112</v>
      </c>
      <c r="B38" s="2">
        <v>46064</v>
      </c>
      <c r="C38">
        <v>2026</v>
      </c>
      <c r="D38" t="s">
        <v>68</v>
      </c>
      <c r="E38" t="s">
        <v>45</v>
      </c>
      <c r="F38" t="s">
        <v>25</v>
      </c>
      <c r="G38" t="s">
        <v>26</v>
      </c>
      <c r="H38" t="s">
        <v>27</v>
      </c>
      <c r="I38" t="s">
        <v>44</v>
      </c>
      <c r="J38" t="s">
        <v>84</v>
      </c>
      <c r="K38" t="s">
        <v>27</v>
      </c>
      <c r="L38" s="3">
        <v>1332</v>
      </c>
      <c r="M38" s="3">
        <v>11387</v>
      </c>
      <c r="N38" t="s">
        <v>54</v>
      </c>
      <c r="O38" t="s">
        <v>42</v>
      </c>
      <c r="P38" t="s">
        <v>32</v>
      </c>
      <c r="Q38" t="s">
        <v>33</v>
      </c>
      <c r="R38" t="s">
        <v>34</v>
      </c>
      <c r="S38" s="3">
        <v>237922</v>
      </c>
      <c r="T38" t="str">
        <f>TEXT(tblTransactions[[#This Row],[Date]],"mmm")</f>
        <v>Feb</v>
      </c>
      <c r="U38" t="str">
        <f>"Q"&amp;ROUNDUP(MONTH(tblTransactions[[#This Row],[Date]])/3,0)</f>
        <v>Q1</v>
      </c>
      <c r="V38">
        <f>MONTH(tblTransactions[[#This Row],[Date]])</f>
        <v>2</v>
      </c>
    </row>
    <row r="39" spans="1:22" x14ac:dyDescent="0.4">
      <c r="A39" t="s">
        <v>113</v>
      </c>
      <c r="B39" s="2">
        <v>46065</v>
      </c>
      <c r="C39">
        <v>2026</v>
      </c>
      <c r="D39" t="s">
        <v>68</v>
      </c>
      <c r="E39" t="s">
        <v>45</v>
      </c>
      <c r="F39" t="s">
        <v>25</v>
      </c>
      <c r="G39" t="s">
        <v>57</v>
      </c>
      <c r="H39" t="s">
        <v>40</v>
      </c>
      <c r="I39" t="s">
        <v>39</v>
      </c>
      <c r="J39" t="s">
        <v>40</v>
      </c>
      <c r="K39" t="s">
        <v>40</v>
      </c>
      <c r="L39" s="3">
        <v>4770</v>
      </c>
      <c r="M39" s="3">
        <v>18863</v>
      </c>
      <c r="N39" t="s">
        <v>54</v>
      </c>
      <c r="O39" t="s">
        <v>50</v>
      </c>
      <c r="P39" t="s">
        <v>32</v>
      </c>
      <c r="Q39" t="s">
        <v>34</v>
      </c>
      <c r="R39" t="s">
        <v>34</v>
      </c>
      <c r="S39" s="3">
        <v>233152</v>
      </c>
      <c r="T39" t="str">
        <f>TEXT(tblTransactions[[#This Row],[Date]],"mmm")</f>
        <v>Feb</v>
      </c>
      <c r="U39" t="str">
        <f>"Q"&amp;ROUNDUP(MONTH(tblTransactions[[#This Row],[Date]])/3,0)</f>
        <v>Q1</v>
      </c>
      <c r="V39">
        <f>MONTH(tblTransactions[[#This Row],[Date]])</f>
        <v>2</v>
      </c>
    </row>
    <row r="40" spans="1:22" x14ac:dyDescent="0.4">
      <c r="A40" t="s">
        <v>114</v>
      </c>
      <c r="B40" s="2">
        <v>46066</v>
      </c>
      <c r="C40">
        <v>2026</v>
      </c>
      <c r="D40" t="s">
        <v>23</v>
      </c>
      <c r="E40" t="s">
        <v>24</v>
      </c>
      <c r="F40" t="s">
        <v>25</v>
      </c>
      <c r="G40" t="s">
        <v>63</v>
      </c>
      <c r="H40" t="s">
        <v>64</v>
      </c>
      <c r="I40" t="s">
        <v>28</v>
      </c>
      <c r="J40" t="s">
        <v>40</v>
      </c>
      <c r="K40" t="s">
        <v>64</v>
      </c>
      <c r="L40" s="3">
        <v>14076</v>
      </c>
      <c r="M40" s="3">
        <v>3692</v>
      </c>
      <c r="N40" t="s">
        <v>30</v>
      </c>
      <c r="O40" t="s">
        <v>55</v>
      </c>
      <c r="P40" t="s">
        <v>32</v>
      </c>
      <c r="Q40" t="s">
        <v>34</v>
      </c>
      <c r="R40" t="s">
        <v>33</v>
      </c>
      <c r="S40" s="3">
        <v>219076</v>
      </c>
      <c r="T40" t="str">
        <f>TEXT(tblTransactions[[#This Row],[Date]],"mmm")</f>
        <v>Feb</v>
      </c>
      <c r="U40" t="str">
        <f>"Q"&amp;ROUNDUP(MONTH(tblTransactions[[#This Row],[Date]])/3,0)</f>
        <v>Q1</v>
      </c>
      <c r="V40">
        <f>MONTH(tblTransactions[[#This Row],[Date]])</f>
        <v>2</v>
      </c>
    </row>
    <row r="41" spans="1:22" x14ac:dyDescent="0.4">
      <c r="A41" t="s">
        <v>115</v>
      </c>
      <c r="B41" s="2">
        <v>46068</v>
      </c>
      <c r="C41">
        <v>2026</v>
      </c>
      <c r="D41" t="s">
        <v>23</v>
      </c>
      <c r="E41" t="s">
        <v>86</v>
      </c>
      <c r="F41" t="s">
        <v>25</v>
      </c>
      <c r="G41" t="s">
        <v>63</v>
      </c>
      <c r="H41" t="s">
        <v>64</v>
      </c>
      <c r="I41" t="s">
        <v>58</v>
      </c>
      <c r="J41" t="s">
        <v>29</v>
      </c>
      <c r="K41" t="s">
        <v>64</v>
      </c>
      <c r="L41" s="3">
        <v>8577</v>
      </c>
      <c r="M41" s="3">
        <v>8062</v>
      </c>
      <c r="N41" t="s">
        <v>30</v>
      </c>
      <c r="O41" t="s">
        <v>50</v>
      </c>
      <c r="P41" t="s">
        <v>32</v>
      </c>
      <c r="Q41" t="s">
        <v>33</v>
      </c>
      <c r="R41" t="s">
        <v>34</v>
      </c>
      <c r="S41" s="3">
        <v>210499</v>
      </c>
      <c r="T41" t="str">
        <f>TEXT(tblTransactions[[#This Row],[Date]],"mmm")</f>
        <v>Feb</v>
      </c>
      <c r="U41" t="str">
        <f>"Q"&amp;ROUNDUP(MONTH(tblTransactions[[#This Row],[Date]])/3,0)</f>
        <v>Q1</v>
      </c>
      <c r="V41">
        <f>MONTH(tblTransactions[[#This Row],[Date]])</f>
        <v>2</v>
      </c>
    </row>
    <row r="42" spans="1:22" x14ac:dyDescent="0.4">
      <c r="A42" t="s">
        <v>116</v>
      </c>
      <c r="B42" s="2">
        <v>46069</v>
      </c>
      <c r="C42">
        <v>2026</v>
      </c>
      <c r="D42" t="s">
        <v>23</v>
      </c>
      <c r="E42" t="s">
        <v>45</v>
      </c>
      <c r="F42" t="s">
        <v>25</v>
      </c>
      <c r="G42" t="s">
        <v>57</v>
      </c>
      <c r="H42" t="s">
        <v>40</v>
      </c>
      <c r="I42" t="s">
        <v>44</v>
      </c>
      <c r="J42" t="s">
        <v>90</v>
      </c>
      <c r="K42" t="s">
        <v>40</v>
      </c>
      <c r="L42" s="3">
        <v>19934</v>
      </c>
      <c r="M42" s="3">
        <v>11796</v>
      </c>
      <c r="N42" t="s">
        <v>30</v>
      </c>
      <c r="O42" t="s">
        <v>42</v>
      </c>
      <c r="P42" t="s">
        <v>32</v>
      </c>
      <c r="Q42" t="s">
        <v>34</v>
      </c>
      <c r="R42" t="s">
        <v>34</v>
      </c>
      <c r="S42" s="3">
        <v>190565</v>
      </c>
      <c r="T42" t="str">
        <f>TEXT(tblTransactions[[#This Row],[Date]],"mmm")</f>
        <v>Feb</v>
      </c>
      <c r="U42" t="str">
        <f>"Q"&amp;ROUNDUP(MONTH(tblTransactions[[#This Row],[Date]])/3,0)</f>
        <v>Q1</v>
      </c>
      <c r="V42">
        <f>MONTH(tblTransactions[[#This Row],[Date]])</f>
        <v>2</v>
      </c>
    </row>
    <row r="43" spans="1:22" x14ac:dyDescent="0.4">
      <c r="A43" t="s">
        <v>117</v>
      </c>
      <c r="B43" s="2">
        <v>46070</v>
      </c>
      <c r="C43">
        <v>2026</v>
      </c>
      <c r="D43" t="s">
        <v>44</v>
      </c>
      <c r="E43" t="s">
        <v>24</v>
      </c>
      <c r="F43" t="s">
        <v>37</v>
      </c>
      <c r="G43" t="s">
        <v>93</v>
      </c>
      <c r="H43" t="s">
        <v>94</v>
      </c>
      <c r="I43" t="s">
        <v>48</v>
      </c>
      <c r="J43" t="s">
        <v>111</v>
      </c>
      <c r="K43" t="s">
        <v>94</v>
      </c>
      <c r="L43" s="3">
        <v>41677</v>
      </c>
      <c r="M43" s="3">
        <v>0</v>
      </c>
      <c r="N43" t="s">
        <v>54</v>
      </c>
      <c r="O43" t="s">
        <v>50</v>
      </c>
      <c r="P43" t="s">
        <v>32</v>
      </c>
      <c r="Q43" t="s">
        <v>33</v>
      </c>
      <c r="R43" t="s">
        <v>34</v>
      </c>
      <c r="S43" s="3">
        <v>232242</v>
      </c>
      <c r="T43" t="str">
        <f>TEXT(tblTransactions[[#This Row],[Date]],"mmm")</f>
        <v>Feb</v>
      </c>
      <c r="U43" t="str">
        <f>"Q"&amp;ROUNDUP(MONTH(tblTransactions[[#This Row],[Date]])/3,0)</f>
        <v>Q1</v>
      </c>
      <c r="V43">
        <f>MONTH(tblTransactions[[#This Row],[Date]])</f>
        <v>2</v>
      </c>
    </row>
    <row r="44" spans="1:22" x14ac:dyDescent="0.4">
      <c r="A44" t="s">
        <v>118</v>
      </c>
      <c r="B44" s="2">
        <v>46071</v>
      </c>
      <c r="C44">
        <v>2026</v>
      </c>
      <c r="D44" t="s">
        <v>68</v>
      </c>
      <c r="E44" t="s">
        <v>45</v>
      </c>
      <c r="F44" t="s">
        <v>25</v>
      </c>
      <c r="G44" t="s">
        <v>46</v>
      </c>
      <c r="H44" t="s">
        <v>47</v>
      </c>
      <c r="I44" t="s">
        <v>44</v>
      </c>
      <c r="J44" t="s">
        <v>40</v>
      </c>
      <c r="K44" t="s">
        <v>47</v>
      </c>
      <c r="L44" s="3">
        <v>7689</v>
      </c>
      <c r="M44" s="3">
        <v>6883</v>
      </c>
      <c r="N44" t="s">
        <v>54</v>
      </c>
      <c r="O44" t="s">
        <v>42</v>
      </c>
      <c r="P44" t="s">
        <v>32</v>
      </c>
      <c r="Q44" t="s">
        <v>33</v>
      </c>
      <c r="R44" t="s">
        <v>34</v>
      </c>
      <c r="S44" s="3">
        <v>224553</v>
      </c>
      <c r="T44" t="str">
        <f>TEXT(tblTransactions[[#This Row],[Date]],"mmm")</f>
        <v>Feb</v>
      </c>
      <c r="U44" t="str">
        <f>"Q"&amp;ROUNDUP(MONTH(tblTransactions[[#This Row],[Date]])/3,0)</f>
        <v>Q1</v>
      </c>
      <c r="V44">
        <f>MONTH(tblTransactions[[#This Row],[Date]])</f>
        <v>2</v>
      </c>
    </row>
    <row r="45" spans="1:22" x14ac:dyDescent="0.4">
      <c r="A45" t="s">
        <v>119</v>
      </c>
      <c r="B45" s="2">
        <v>46072</v>
      </c>
      <c r="C45">
        <v>2026</v>
      </c>
      <c r="D45" t="s">
        <v>44</v>
      </c>
      <c r="E45" t="s">
        <v>86</v>
      </c>
      <c r="F45" t="s">
        <v>25</v>
      </c>
      <c r="G45" t="s">
        <v>26</v>
      </c>
      <c r="H45" t="s">
        <v>27</v>
      </c>
      <c r="I45" t="s">
        <v>48</v>
      </c>
      <c r="J45" t="s">
        <v>74</v>
      </c>
      <c r="K45" t="s">
        <v>27</v>
      </c>
      <c r="L45" s="3">
        <v>10171</v>
      </c>
      <c r="M45" s="3">
        <v>1641</v>
      </c>
      <c r="N45" t="s">
        <v>54</v>
      </c>
      <c r="O45" t="s">
        <v>50</v>
      </c>
      <c r="P45" t="s">
        <v>32</v>
      </c>
      <c r="Q45" t="s">
        <v>33</v>
      </c>
      <c r="R45" t="s">
        <v>34</v>
      </c>
      <c r="S45" s="3">
        <v>214382</v>
      </c>
      <c r="T45" t="str">
        <f>TEXT(tblTransactions[[#This Row],[Date]],"mmm")</f>
        <v>Feb</v>
      </c>
      <c r="U45" t="str">
        <f>"Q"&amp;ROUNDUP(MONTH(tblTransactions[[#This Row],[Date]])/3,0)</f>
        <v>Q1</v>
      </c>
      <c r="V45">
        <f>MONTH(tblTransactions[[#This Row],[Date]])</f>
        <v>2</v>
      </c>
    </row>
    <row r="46" spans="1:22" x14ac:dyDescent="0.4">
      <c r="A46" t="s">
        <v>120</v>
      </c>
      <c r="B46" s="2">
        <v>46076</v>
      </c>
      <c r="C46">
        <v>2026</v>
      </c>
      <c r="D46" t="s">
        <v>23</v>
      </c>
      <c r="E46" t="s">
        <v>36</v>
      </c>
      <c r="F46" t="s">
        <v>25</v>
      </c>
      <c r="G46" t="s">
        <v>73</v>
      </c>
      <c r="H46" t="s">
        <v>74</v>
      </c>
      <c r="I46" t="s">
        <v>44</v>
      </c>
      <c r="J46" t="s">
        <v>40</v>
      </c>
      <c r="K46" t="s">
        <v>74</v>
      </c>
      <c r="L46" s="3">
        <v>16581</v>
      </c>
      <c r="M46" s="3">
        <v>5001</v>
      </c>
      <c r="N46" t="s">
        <v>54</v>
      </c>
      <c r="O46" t="s">
        <v>50</v>
      </c>
      <c r="P46" t="s">
        <v>32</v>
      </c>
      <c r="Q46" t="s">
        <v>34</v>
      </c>
      <c r="R46" t="s">
        <v>34</v>
      </c>
      <c r="S46" s="3">
        <v>197801</v>
      </c>
      <c r="T46" t="str">
        <f>TEXT(tblTransactions[[#This Row],[Date]],"mmm")</f>
        <v>Feb</v>
      </c>
      <c r="U46" t="str">
        <f>"Q"&amp;ROUNDUP(MONTH(tblTransactions[[#This Row],[Date]])/3,0)</f>
        <v>Q1</v>
      </c>
      <c r="V46">
        <f>MONTH(tblTransactions[[#This Row],[Date]])</f>
        <v>2</v>
      </c>
    </row>
    <row r="47" spans="1:22" x14ac:dyDescent="0.4">
      <c r="A47" t="s">
        <v>121</v>
      </c>
      <c r="B47" s="2">
        <v>46077</v>
      </c>
      <c r="C47">
        <v>2026</v>
      </c>
      <c r="D47" t="s">
        <v>44</v>
      </c>
      <c r="E47" t="s">
        <v>86</v>
      </c>
      <c r="F47" t="s">
        <v>25</v>
      </c>
      <c r="G47" t="s">
        <v>104</v>
      </c>
      <c r="H47" t="s">
        <v>105</v>
      </c>
      <c r="I47" t="s">
        <v>53</v>
      </c>
      <c r="J47" t="s">
        <v>49</v>
      </c>
      <c r="K47" t="s">
        <v>105</v>
      </c>
      <c r="L47" s="3">
        <v>12480</v>
      </c>
      <c r="M47" s="3">
        <v>3348</v>
      </c>
      <c r="N47" t="s">
        <v>30</v>
      </c>
      <c r="O47" t="s">
        <v>50</v>
      </c>
      <c r="P47" t="s">
        <v>32</v>
      </c>
      <c r="Q47" t="s">
        <v>34</v>
      </c>
      <c r="R47" t="s">
        <v>34</v>
      </c>
      <c r="S47" s="3">
        <v>185321</v>
      </c>
      <c r="T47" t="str">
        <f>TEXT(tblTransactions[[#This Row],[Date]],"mmm")</f>
        <v>Feb</v>
      </c>
      <c r="U47" t="str">
        <f>"Q"&amp;ROUNDUP(MONTH(tblTransactions[[#This Row],[Date]])/3,0)</f>
        <v>Q1</v>
      </c>
      <c r="V47">
        <f>MONTH(tblTransactions[[#This Row],[Date]])</f>
        <v>2</v>
      </c>
    </row>
    <row r="48" spans="1:22" x14ac:dyDescent="0.4">
      <c r="A48" t="s">
        <v>122</v>
      </c>
      <c r="B48" s="2">
        <v>46078</v>
      </c>
      <c r="C48">
        <v>2026</v>
      </c>
      <c r="D48" t="s">
        <v>44</v>
      </c>
      <c r="E48" t="s">
        <v>86</v>
      </c>
      <c r="F48" t="s">
        <v>25</v>
      </c>
      <c r="G48" t="s">
        <v>104</v>
      </c>
      <c r="H48" t="s">
        <v>105</v>
      </c>
      <c r="I48" t="s">
        <v>48</v>
      </c>
      <c r="J48" t="s">
        <v>111</v>
      </c>
      <c r="K48" t="s">
        <v>105</v>
      </c>
      <c r="L48" s="3">
        <v>12795</v>
      </c>
      <c r="M48" s="3">
        <v>15831</v>
      </c>
      <c r="N48" t="s">
        <v>41</v>
      </c>
      <c r="O48" t="s">
        <v>42</v>
      </c>
      <c r="P48" t="s">
        <v>32</v>
      </c>
      <c r="Q48" t="s">
        <v>34</v>
      </c>
      <c r="R48" t="s">
        <v>34</v>
      </c>
      <c r="S48" s="3">
        <v>172526</v>
      </c>
      <c r="T48" t="str">
        <f>TEXT(tblTransactions[[#This Row],[Date]],"mmm")</f>
        <v>Feb</v>
      </c>
      <c r="U48" t="str">
        <f>"Q"&amp;ROUNDUP(MONTH(tblTransactions[[#This Row],[Date]])/3,0)</f>
        <v>Q1</v>
      </c>
      <c r="V48">
        <f>MONTH(tblTransactions[[#This Row],[Date]])</f>
        <v>2</v>
      </c>
    </row>
    <row r="49" spans="1:22" x14ac:dyDescent="0.4">
      <c r="A49" t="s">
        <v>123</v>
      </c>
      <c r="B49" s="2">
        <v>46079</v>
      </c>
      <c r="C49">
        <v>2026</v>
      </c>
      <c r="D49" t="s">
        <v>68</v>
      </c>
      <c r="E49" t="s">
        <v>86</v>
      </c>
      <c r="F49" t="s">
        <v>25</v>
      </c>
      <c r="G49" t="s">
        <v>46</v>
      </c>
      <c r="H49" t="s">
        <v>47</v>
      </c>
      <c r="I49" t="s">
        <v>53</v>
      </c>
      <c r="J49" t="s">
        <v>111</v>
      </c>
      <c r="K49" t="s">
        <v>47</v>
      </c>
      <c r="L49" s="3">
        <v>3655</v>
      </c>
      <c r="M49" s="3">
        <v>19556</v>
      </c>
      <c r="N49" t="s">
        <v>41</v>
      </c>
      <c r="O49" t="s">
        <v>31</v>
      </c>
      <c r="P49" t="s">
        <v>32</v>
      </c>
      <c r="Q49" t="s">
        <v>33</v>
      </c>
      <c r="R49" t="s">
        <v>34</v>
      </c>
      <c r="S49" s="3">
        <v>168871</v>
      </c>
      <c r="T49" t="str">
        <f>TEXT(tblTransactions[[#This Row],[Date]],"mmm")</f>
        <v>Feb</v>
      </c>
      <c r="U49" t="str">
        <f>"Q"&amp;ROUNDUP(MONTH(tblTransactions[[#This Row],[Date]])/3,0)</f>
        <v>Q1</v>
      </c>
      <c r="V49">
        <f>MONTH(tblTransactions[[#This Row],[Date]])</f>
        <v>2</v>
      </c>
    </row>
    <row r="50" spans="1:22" x14ac:dyDescent="0.4">
      <c r="A50" t="s">
        <v>124</v>
      </c>
      <c r="B50" s="2">
        <v>46080</v>
      </c>
      <c r="C50">
        <v>2026</v>
      </c>
      <c r="D50" t="s">
        <v>23</v>
      </c>
      <c r="E50" t="s">
        <v>86</v>
      </c>
      <c r="F50" t="s">
        <v>25</v>
      </c>
      <c r="G50" t="s">
        <v>104</v>
      </c>
      <c r="H50" t="s">
        <v>105</v>
      </c>
      <c r="I50" t="s">
        <v>39</v>
      </c>
      <c r="J50" t="s">
        <v>29</v>
      </c>
      <c r="K50" t="s">
        <v>105</v>
      </c>
      <c r="L50" s="3">
        <v>10870</v>
      </c>
      <c r="M50" s="3">
        <v>10002</v>
      </c>
      <c r="N50" t="s">
        <v>30</v>
      </c>
      <c r="O50" t="s">
        <v>55</v>
      </c>
      <c r="P50" t="s">
        <v>32</v>
      </c>
      <c r="Q50" t="s">
        <v>34</v>
      </c>
      <c r="R50" t="s">
        <v>34</v>
      </c>
      <c r="S50" s="3">
        <v>158001</v>
      </c>
      <c r="T50" t="str">
        <f>TEXT(tblTransactions[[#This Row],[Date]],"mmm")</f>
        <v>Feb</v>
      </c>
      <c r="U50" t="str">
        <f>"Q"&amp;ROUNDUP(MONTH(tblTransactions[[#This Row],[Date]])/3,0)</f>
        <v>Q1</v>
      </c>
      <c r="V50">
        <f>MONTH(tblTransactions[[#This Row],[Date]])</f>
        <v>2</v>
      </c>
    </row>
    <row r="51" spans="1:22" x14ac:dyDescent="0.4">
      <c r="A51" t="s">
        <v>125</v>
      </c>
      <c r="B51" s="2">
        <v>46081</v>
      </c>
      <c r="C51">
        <v>2026</v>
      </c>
      <c r="D51" t="s">
        <v>68</v>
      </c>
      <c r="E51" t="s">
        <v>36</v>
      </c>
      <c r="F51" t="s">
        <v>25</v>
      </c>
      <c r="G51" t="s">
        <v>26</v>
      </c>
      <c r="H51" t="s">
        <v>27</v>
      </c>
      <c r="I51" t="s">
        <v>53</v>
      </c>
      <c r="J51" t="s">
        <v>65</v>
      </c>
      <c r="K51" t="s">
        <v>27</v>
      </c>
      <c r="L51" s="3">
        <v>7758</v>
      </c>
      <c r="M51" s="3">
        <v>8337</v>
      </c>
      <c r="N51" t="s">
        <v>54</v>
      </c>
      <c r="O51" t="s">
        <v>42</v>
      </c>
      <c r="P51" t="s">
        <v>32</v>
      </c>
      <c r="Q51" t="s">
        <v>34</v>
      </c>
      <c r="R51" t="s">
        <v>33</v>
      </c>
      <c r="S51" s="3">
        <v>150243</v>
      </c>
      <c r="T51" t="str">
        <f>TEXT(tblTransactions[[#This Row],[Date]],"mmm")</f>
        <v>Feb</v>
      </c>
      <c r="U51" t="str">
        <f>"Q"&amp;ROUNDUP(MONTH(tblTransactions[[#This Row],[Date]])/3,0)</f>
        <v>Q1</v>
      </c>
      <c r="V51">
        <f>MONTH(tblTransactions[[#This Row],[Date]])</f>
        <v>2</v>
      </c>
    </row>
    <row r="52" spans="1:22" x14ac:dyDescent="0.4">
      <c r="A52" t="s">
        <v>126</v>
      </c>
      <c r="B52" s="2">
        <v>46082</v>
      </c>
      <c r="C52">
        <v>2026</v>
      </c>
      <c r="D52" t="s">
        <v>68</v>
      </c>
      <c r="E52" t="s">
        <v>86</v>
      </c>
      <c r="F52" t="s">
        <v>25</v>
      </c>
      <c r="G52" t="s">
        <v>70</v>
      </c>
      <c r="H52" t="s">
        <v>71</v>
      </c>
      <c r="I52" t="s">
        <v>28</v>
      </c>
      <c r="J52" t="s">
        <v>59</v>
      </c>
      <c r="K52" t="s">
        <v>71</v>
      </c>
      <c r="L52" s="3">
        <v>4231</v>
      </c>
      <c r="M52" s="3">
        <v>3475</v>
      </c>
      <c r="N52" t="s">
        <v>41</v>
      </c>
      <c r="O52" t="s">
        <v>55</v>
      </c>
      <c r="P52" t="s">
        <v>32</v>
      </c>
      <c r="Q52" t="s">
        <v>33</v>
      </c>
      <c r="R52" t="s">
        <v>34</v>
      </c>
      <c r="S52" s="3">
        <v>146012</v>
      </c>
      <c r="T52" t="str">
        <f>TEXT(tblTransactions[[#This Row],[Date]],"mmm")</f>
        <v>Mar</v>
      </c>
      <c r="U52" t="str">
        <f>"Q"&amp;ROUNDUP(MONTH(tblTransactions[[#This Row],[Date]])/3,0)</f>
        <v>Q1</v>
      </c>
      <c r="V52">
        <f>MONTH(tblTransactions[[#This Row],[Date]])</f>
        <v>3</v>
      </c>
    </row>
    <row r="53" spans="1:22" x14ac:dyDescent="0.4">
      <c r="A53" t="s">
        <v>127</v>
      </c>
      <c r="B53" s="2">
        <v>46083</v>
      </c>
      <c r="C53">
        <v>2026</v>
      </c>
      <c r="D53" t="s">
        <v>23</v>
      </c>
      <c r="E53" t="s">
        <v>24</v>
      </c>
      <c r="F53" t="s">
        <v>25</v>
      </c>
      <c r="G53" t="s">
        <v>46</v>
      </c>
      <c r="H53" t="s">
        <v>47</v>
      </c>
      <c r="I53" t="s">
        <v>53</v>
      </c>
      <c r="J53" t="s">
        <v>74</v>
      </c>
      <c r="K53" t="s">
        <v>47</v>
      </c>
      <c r="L53" s="3">
        <v>1302</v>
      </c>
      <c r="M53" s="3">
        <v>14311</v>
      </c>
      <c r="N53" t="s">
        <v>60</v>
      </c>
      <c r="O53" t="s">
        <v>31</v>
      </c>
      <c r="P53" t="s">
        <v>32</v>
      </c>
      <c r="Q53" t="s">
        <v>34</v>
      </c>
      <c r="R53" t="s">
        <v>34</v>
      </c>
      <c r="S53" s="3">
        <v>144710</v>
      </c>
      <c r="T53" t="str">
        <f>TEXT(tblTransactions[[#This Row],[Date]],"mmm")</f>
        <v>Mar</v>
      </c>
      <c r="U53" t="str">
        <f>"Q"&amp;ROUNDUP(MONTH(tblTransactions[[#This Row],[Date]])/3,0)</f>
        <v>Q1</v>
      </c>
      <c r="V53">
        <f>MONTH(tblTransactions[[#This Row],[Date]])</f>
        <v>3</v>
      </c>
    </row>
    <row r="54" spans="1:22" x14ac:dyDescent="0.4">
      <c r="A54" t="s">
        <v>128</v>
      </c>
      <c r="B54" s="2">
        <v>46084</v>
      </c>
      <c r="C54">
        <v>2026</v>
      </c>
      <c r="D54" t="s">
        <v>68</v>
      </c>
      <c r="E54" t="s">
        <v>24</v>
      </c>
      <c r="F54" t="s">
        <v>25</v>
      </c>
      <c r="G54" t="s">
        <v>26</v>
      </c>
      <c r="H54" t="s">
        <v>27</v>
      </c>
      <c r="I54" t="s">
        <v>58</v>
      </c>
      <c r="J54" t="s">
        <v>111</v>
      </c>
      <c r="K54" t="s">
        <v>27</v>
      </c>
      <c r="L54" s="3">
        <v>16817</v>
      </c>
      <c r="M54" s="3">
        <v>14353</v>
      </c>
      <c r="N54" t="s">
        <v>41</v>
      </c>
      <c r="O54" t="s">
        <v>42</v>
      </c>
      <c r="P54" t="s">
        <v>32</v>
      </c>
      <c r="Q54" t="s">
        <v>34</v>
      </c>
      <c r="R54" t="s">
        <v>34</v>
      </c>
      <c r="S54" s="3">
        <v>127893</v>
      </c>
      <c r="T54" t="str">
        <f>TEXT(tblTransactions[[#This Row],[Date]],"mmm")</f>
        <v>Mar</v>
      </c>
      <c r="U54" t="str">
        <f>"Q"&amp;ROUNDUP(MONTH(tblTransactions[[#This Row],[Date]])/3,0)</f>
        <v>Q1</v>
      </c>
      <c r="V54">
        <f>MONTH(tblTransactions[[#This Row],[Date]])</f>
        <v>3</v>
      </c>
    </row>
    <row r="55" spans="1:22" x14ac:dyDescent="0.4">
      <c r="A55" t="s">
        <v>129</v>
      </c>
      <c r="B55" s="2">
        <v>46085</v>
      </c>
      <c r="C55">
        <v>2026</v>
      </c>
      <c r="D55" t="s">
        <v>68</v>
      </c>
      <c r="E55" t="s">
        <v>45</v>
      </c>
      <c r="F55" t="s">
        <v>25</v>
      </c>
      <c r="G55" t="s">
        <v>26</v>
      </c>
      <c r="H55" t="s">
        <v>27</v>
      </c>
      <c r="I55" t="s">
        <v>39</v>
      </c>
      <c r="J55" t="s">
        <v>65</v>
      </c>
      <c r="K55" t="s">
        <v>27</v>
      </c>
      <c r="L55" s="3">
        <v>11483</v>
      </c>
      <c r="M55" s="3">
        <v>3904</v>
      </c>
      <c r="N55" t="s">
        <v>60</v>
      </c>
      <c r="O55" t="s">
        <v>31</v>
      </c>
      <c r="P55" t="s">
        <v>32</v>
      </c>
      <c r="Q55" t="s">
        <v>33</v>
      </c>
      <c r="R55" t="s">
        <v>34</v>
      </c>
      <c r="S55" s="3">
        <v>116410</v>
      </c>
      <c r="T55" t="str">
        <f>TEXT(tblTransactions[[#This Row],[Date]],"mmm")</f>
        <v>Mar</v>
      </c>
      <c r="U55" t="str">
        <f>"Q"&amp;ROUNDUP(MONTH(tblTransactions[[#This Row],[Date]])/3,0)</f>
        <v>Q1</v>
      </c>
      <c r="V55">
        <f>MONTH(tblTransactions[[#This Row],[Date]])</f>
        <v>3</v>
      </c>
    </row>
    <row r="56" spans="1:22" x14ac:dyDescent="0.4">
      <c r="A56" t="s">
        <v>130</v>
      </c>
      <c r="B56" s="2">
        <v>46086</v>
      </c>
      <c r="C56">
        <v>2026</v>
      </c>
      <c r="D56" t="s">
        <v>68</v>
      </c>
      <c r="E56" t="s">
        <v>86</v>
      </c>
      <c r="F56" t="s">
        <v>25</v>
      </c>
      <c r="G56" t="s">
        <v>46</v>
      </c>
      <c r="H56" t="s">
        <v>47</v>
      </c>
      <c r="I56" t="s">
        <v>58</v>
      </c>
      <c r="J56" t="s">
        <v>84</v>
      </c>
      <c r="K56" t="s">
        <v>47</v>
      </c>
      <c r="L56" s="3">
        <v>11863</v>
      </c>
      <c r="M56" s="3">
        <v>2681</v>
      </c>
      <c r="N56" t="s">
        <v>60</v>
      </c>
      <c r="O56" t="s">
        <v>50</v>
      </c>
      <c r="P56" t="s">
        <v>32</v>
      </c>
      <c r="Q56" t="s">
        <v>34</v>
      </c>
      <c r="R56" t="s">
        <v>34</v>
      </c>
      <c r="S56" s="3">
        <v>104547</v>
      </c>
      <c r="T56" t="str">
        <f>TEXT(tblTransactions[[#This Row],[Date]],"mmm")</f>
        <v>Mar</v>
      </c>
      <c r="U56" t="str">
        <f>"Q"&amp;ROUNDUP(MONTH(tblTransactions[[#This Row],[Date]])/3,0)</f>
        <v>Q1</v>
      </c>
      <c r="V56">
        <f>MONTH(tblTransactions[[#This Row],[Date]])</f>
        <v>3</v>
      </c>
    </row>
    <row r="57" spans="1:22" x14ac:dyDescent="0.4">
      <c r="A57" t="s">
        <v>131</v>
      </c>
      <c r="B57" s="2">
        <v>46087</v>
      </c>
      <c r="C57">
        <v>2026</v>
      </c>
      <c r="D57" t="s">
        <v>23</v>
      </c>
      <c r="E57" t="s">
        <v>45</v>
      </c>
      <c r="F57" t="s">
        <v>25</v>
      </c>
      <c r="G57" t="s">
        <v>98</v>
      </c>
      <c r="H57" t="s">
        <v>99</v>
      </c>
      <c r="I57" t="s">
        <v>39</v>
      </c>
      <c r="J57" t="s">
        <v>59</v>
      </c>
      <c r="K57" t="s">
        <v>99</v>
      </c>
      <c r="L57" s="3">
        <v>849</v>
      </c>
      <c r="M57" s="3">
        <v>14943</v>
      </c>
      <c r="N57" t="s">
        <v>54</v>
      </c>
      <c r="O57" t="s">
        <v>50</v>
      </c>
      <c r="P57" t="s">
        <v>32</v>
      </c>
      <c r="Q57" t="s">
        <v>34</v>
      </c>
      <c r="R57" t="s">
        <v>34</v>
      </c>
      <c r="S57" s="3">
        <v>103698</v>
      </c>
      <c r="T57" t="str">
        <f>TEXT(tblTransactions[[#This Row],[Date]],"mmm")</f>
        <v>Mar</v>
      </c>
      <c r="U57" t="str">
        <f>"Q"&amp;ROUNDUP(MONTH(tblTransactions[[#This Row],[Date]])/3,0)</f>
        <v>Q1</v>
      </c>
      <c r="V57">
        <f>MONTH(tblTransactions[[#This Row],[Date]])</f>
        <v>3</v>
      </c>
    </row>
    <row r="58" spans="1:22" x14ac:dyDescent="0.4">
      <c r="A58" t="s">
        <v>132</v>
      </c>
      <c r="B58" s="2">
        <v>46088</v>
      </c>
      <c r="C58">
        <v>2026</v>
      </c>
      <c r="D58" t="s">
        <v>44</v>
      </c>
      <c r="E58" t="s">
        <v>45</v>
      </c>
      <c r="F58" t="s">
        <v>25</v>
      </c>
      <c r="G58" t="s">
        <v>98</v>
      </c>
      <c r="H58" t="s">
        <v>99</v>
      </c>
      <c r="I58" t="s">
        <v>53</v>
      </c>
      <c r="J58" t="s">
        <v>111</v>
      </c>
      <c r="K58" t="s">
        <v>99</v>
      </c>
      <c r="L58" s="3">
        <v>4875</v>
      </c>
      <c r="M58" s="3">
        <v>19230</v>
      </c>
      <c r="N58" t="s">
        <v>30</v>
      </c>
      <c r="O58" t="s">
        <v>42</v>
      </c>
      <c r="P58" t="s">
        <v>32</v>
      </c>
      <c r="Q58" t="s">
        <v>33</v>
      </c>
      <c r="R58" t="s">
        <v>34</v>
      </c>
      <c r="S58" s="3">
        <v>98823</v>
      </c>
      <c r="T58" t="str">
        <f>TEXT(tblTransactions[[#This Row],[Date]],"mmm")</f>
        <v>Mar</v>
      </c>
      <c r="U58" t="str">
        <f>"Q"&amp;ROUNDUP(MONTH(tblTransactions[[#This Row],[Date]])/3,0)</f>
        <v>Q1</v>
      </c>
      <c r="V58">
        <f>MONTH(tblTransactions[[#This Row],[Date]])</f>
        <v>3</v>
      </c>
    </row>
    <row r="59" spans="1:22" x14ac:dyDescent="0.4">
      <c r="A59" t="s">
        <v>133</v>
      </c>
      <c r="B59" s="2">
        <v>46089</v>
      </c>
      <c r="C59">
        <v>2026</v>
      </c>
      <c r="D59" t="s">
        <v>23</v>
      </c>
      <c r="E59" t="s">
        <v>24</v>
      </c>
      <c r="F59" t="s">
        <v>37</v>
      </c>
      <c r="G59" t="s">
        <v>77</v>
      </c>
      <c r="H59" t="s">
        <v>78</v>
      </c>
      <c r="I59" t="s">
        <v>44</v>
      </c>
      <c r="J59" t="s">
        <v>90</v>
      </c>
      <c r="K59" t="s">
        <v>78</v>
      </c>
      <c r="L59" s="3">
        <v>45269</v>
      </c>
      <c r="M59" s="3">
        <v>0</v>
      </c>
      <c r="N59" t="s">
        <v>54</v>
      </c>
      <c r="O59" t="s">
        <v>31</v>
      </c>
      <c r="P59" t="s">
        <v>32</v>
      </c>
      <c r="Q59" t="s">
        <v>34</v>
      </c>
      <c r="R59" t="s">
        <v>34</v>
      </c>
      <c r="S59" s="3">
        <v>144092</v>
      </c>
      <c r="T59" t="str">
        <f>TEXT(tblTransactions[[#This Row],[Date]],"mmm")</f>
        <v>Mar</v>
      </c>
      <c r="U59" t="str">
        <f>"Q"&amp;ROUNDUP(MONTH(tblTransactions[[#This Row],[Date]])/3,0)</f>
        <v>Q1</v>
      </c>
      <c r="V59">
        <f>MONTH(tblTransactions[[#This Row],[Date]])</f>
        <v>3</v>
      </c>
    </row>
    <row r="60" spans="1:22" x14ac:dyDescent="0.4">
      <c r="A60" t="s">
        <v>134</v>
      </c>
      <c r="B60" s="2">
        <v>46090</v>
      </c>
      <c r="C60">
        <v>2026</v>
      </c>
      <c r="D60" t="s">
        <v>23</v>
      </c>
      <c r="E60" t="s">
        <v>36</v>
      </c>
      <c r="F60" t="s">
        <v>25</v>
      </c>
      <c r="G60" t="s">
        <v>46</v>
      </c>
      <c r="H60" t="s">
        <v>47</v>
      </c>
      <c r="I60" t="s">
        <v>39</v>
      </c>
      <c r="J60" t="s">
        <v>74</v>
      </c>
      <c r="K60" t="s">
        <v>47</v>
      </c>
      <c r="L60" s="3">
        <v>11527</v>
      </c>
      <c r="M60" s="3">
        <v>2969</v>
      </c>
      <c r="N60" t="s">
        <v>60</v>
      </c>
      <c r="O60" t="s">
        <v>55</v>
      </c>
      <c r="P60" t="s">
        <v>32</v>
      </c>
      <c r="Q60" t="s">
        <v>33</v>
      </c>
      <c r="R60" t="s">
        <v>34</v>
      </c>
      <c r="S60" s="3">
        <v>132565</v>
      </c>
      <c r="T60" t="str">
        <f>TEXT(tblTransactions[[#This Row],[Date]],"mmm")</f>
        <v>Mar</v>
      </c>
      <c r="U60" t="str">
        <f>"Q"&amp;ROUNDUP(MONTH(tblTransactions[[#This Row],[Date]])/3,0)</f>
        <v>Q1</v>
      </c>
      <c r="V60">
        <f>MONTH(tblTransactions[[#This Row],[Date]])</f>
        <v>3</v>
      </c>
    </row>
    <row r="61" spans="1:22" x14ac:dyDescent="0.4">
      <c r="A61" t="s">
        <v>135</v>
      </c>
      <c r="B61" s="2">
        <v>46091</v>
      </c>
      <c r="C61">
        <v>2026</v>
      </c>
      <c r="D61" t="s">
        <v>44</v>
      </c>
      <c r="E61" t="s">
        <v>24</v>
      </c>
      <c r="F61" t="s">
        <v>25</v>
      </c>
      <c r="G61" t="s">
        <v>98</v>
      </c>
      <c r="H61" t="s">
        <v>99</v>
      </c>
      <c r="I61" t="s">
        <v>53</v>
      </c>
      <c r="J61" t="s">
        <v>29</v>
      </c>
      <c r="K61" t="s">
        <v>99</v>
      </c>
      <c r="L61" s="3">
        <v>16184</v>
      </c>
      <c r="M61" s="3">
        <v>1573</v>
      </c>
      <c r="N61" t="s">
        <v>54</v>
      </c>
      <c r="O61" t="s">
        <v>55</v>
      </c>
      <c r="P61" t="s">
        <v>32</v>
      </c>
      <c r="Q61" t="s">
        <v>34</v>
      </c>
      <c r="R61" t="s">
        <v>34</v>
      </c>
      <c r="S61" s="3">
        <v>116381</v>
      </c>
      <c r="T61" t="str">
        <f>TEXT(tblTransactions[[#This Row],[Date]],"mmm")</f>
        <v>Mar</v>
      </c>
      <c r="U61" t="str">
        <f>"Q"&amp;ROUNDUP(MONTH(tblTransactions[[#This Row],[Date]])/3,0)</f>
        <v>Q1</v>
      </c>
      <c r="V61">
        <f>MONTH(tblTransactions[[#This Row],[Date]])</f>
        <v>3</v>
      </c>
    </row>
    <row r="62" spans="1:22" x14ac:dyDescent="0.4">
      <c r="A62" t="s">
        <v>136</v>
      </c>
      <c r="B62" s="2">
        <v>46092</v>
      </c>
      <c r="C62">
        <v>2026</v>
      </c>
      <c r="D62" t="s">
        <v>23</v>
      </c>
      <c r="E62" t="s">
        <v>45</v>
      </c>
      <c r="F62" t="s">
        <v>37</v>
      </c>
      <c r="G62" t="s">
        <v>52</v>
      </c>
      <c r="H62" t="s">
        <v>52</v>
      </c>
      <c r="I62" t="s">
        <v>39</v>
      </c>
      <c r="J62" t="s">
        <v>40</v>
      </c>
      <c r="K62" t="s">
        <v>52</v>
      </c>
      <c r="L62" s="3">
        <v>2744</v>
      </c>
      <c r="M62" s="3">
        <v>0</v>
      </c>
      <c r="N62" t="s">
        <v>60</v>
      </c>
      <c r="O62" t="s">
        <v>42</v>
      </c>
      <c r="P62" t="s">
        <v>32</v>
      </c>
      <c r="Q62" t="s">
        <v>33</v>
      </c>
      <c r="R62" t="s">
        <v>34</v>
      </c>
      <c r="S62" s="3">
        <v>119125</v>
      </c>
      <c r="T62" t="str">
        <f>TEXT(tblTransactions[[#This Row],[Date]],"mmm")</f>
        <v>Mar</v>
      </c>
      <c r="U62" t="str">
        <f>"Q"&amp;ROUNDUP(MONTH(tblTransactions[[#This Row],[Date]])/3,0)</f>
        <v>Q1</v>
      </c>
      <c r="V62">
        <f>MONTH(tblTransactions[[#This Row],[Date]])</f>
        <v>3</v>
      </c>
    </row>
    <row r="63" spans="1:22" x14ac:dyDescent="0.4">
      <c r="A63" t="s">
        <v>137</v>
      </c>
      <c r="B63" s="2">
        <v>46093</v>
      </c>
      <c r="C63">
        <v>2026</v>
      </c>
      <c r="D63" t="s">
        <v>68</v>
      </c>
      <c r="E63" t="s">
        <v>86</v>
      </c>
      <c r="F63" t="s">
        <v>25</v>
      </c>
      <c r="G63" t="s">
        <v>57</v>
      </c>
      <c r="H63" t="s">
        <v>40</v>
      </c>
      <c r="I63" t="s">
        <v>48</v>
      </c>
      <c r="J63" t="s">
        <v>29</v>
      </c>
      <c r="K63" t="s">
        <v>40</v>
      </c>
      <c r="L63" s="3">
        <v>5770</v>
      </c>
      <c r="M63" s="3">
        <v>15216</v>
      </c>
      <c r="N63" t="s">
        <v>41</v>
      </c>
      <c r="O63" t="s">
        <v>50</v>
      </c>
      <c r="P63" t="s">
        <v>32</v>
      </c>
      <c r="Q63" t="s">
        <v>34</v>
      </c>
      <c r="R63" t="s">
        <v>34</v>
      </c>
      <c r="S63" s="3">
        <v>113355</v>
      </c>
      <c r="T63" t="str">
        <f>TEXT(tblTransactions[[#This Row],[Date]],"mmm")</f>
        <v>Mar</v>
      </c>
      <c r="U63" t="str">
        <f>"Q"&amp;ROUNDUP(MONTH(tblTransactions[[#This Row],[Date]])/3,0)</f>
        <v>Q1</v>
      </c>
      <c r="V63">
        <f>MONTH(tblTransactions[[#This Row],[Date]])</f>
        <v>3</v>
      </c>
    </row>
    <row r="64" spans="1:22" x14ac:dyDescent="0.4">
      <c r="A64" t="s">
        <v>138</v>
      </c>
      <c r="B64" s="2">
        <v>46095</v>
      </c>
      <c r="C64">
        <v>2026</v>
      </c>
      <c r="D64" t="s">
        <v>68</v>
      </c>
      <c r="E64" t="s">
        <v>45</v>
      </c>
      <c r="F64" t="s">
        <v>25</v>
      </c>
      <c r="G64" t="s">
        <v>46</v>
      </c>
      <c r="H64" t="s">
        <v>47</v>
      </c>
      <c r="I64" t="s">
        <v>48</v>
      </c>
      <c r="J64" t="s">
        <v>84</v>
      </c>
      <c r="K64" t="s">
        <v>47</v>
      </c>
      <c r="L64" s="3">
        <v>10908</v>
      </c>
      <c r="M64" s="3">
        <v>18203</v>
      </c>
      <c r="N64" t="s">
        <v>41</v>
      </c>
      <c r="O64" t="s">
        <v>42</v>
      </c>
      <c r="P64" t="s">
        <v>32</v>
      </c>
      <c r="Q64" t="s">
        <v>34</v>
      </c>
      <c r="R64" t="s">
        <v>34</v>
      </c>
      <c r="S64" s="3">
        <v>102447</v>
      </c>
      <c r="T64" t="str">
        <f>TEXT(tblTransactions[[#This Row],[Date]],"mmm")</f>
        <v>Mar</v>
      </c>
      <c r="U64" t="str">
        <f>"Q"&amp;ROUNDUP(MONTH(tblTransactions[[#This Row],[Date]])/3,0)</f>
        <v>Q1</v>
      </c>
      <c r="V64">
        <f>MONTH(tblTransactions[[#This Row],[Date]])</f>
        <v>3</v>
      </c>
    </row>
    <row r="65" spans="1:22" x14ac:dyDescent="0.4">
      <c r="A65" t="s">
        <v>139</v>
      </c>
      <c r="B65" s="2">
        <v>46096</v>
      </c>
      <c r="C65">
        <v>2026</v>
      </c>
      <c r="D65" t="s">
        <v>68</v>
      </c>
      <c r="E65" t="s">
        <v>24</v>
      </c>
      <c r="F65" t="s">
        <v>25</v>
      </c>
      <c r="G65" t="s">
        <v>63</v>
      </c>
      <c r="H65" t="s">
        <v>64</v>
      </c>
      <c r="I65" t="s">
        <v>53</v>
      </c>
      <c r="J65" t="s">
        <v>84</v>
      </c>
      <c r="K65" t="s">
        <v>64</v>
      </c>
      <c r="L65" s="3">
        <v>5760</v>
      </c>
      <c r="M65" s="3">
        <v>5990</v>
      </c>
      <c r="N65" t="s">
        <v>41</v>
      </c>
      <c r="O65" t="s">
        <v>42</v>
      </c>
      <c r="P65" t="s">
        <v>32</v>
      </c>
      <c r="Q65" t="s">
        <v>34</v>
      </c>
      <c r="R65" t="s">
        <v>34</v>
      </c>
      <c r="S65" s="3">
        <v>96687</v>
      </c>
      <c r="T65" t="str">
        <f>TEXT(tblTransactions[[#This Row],[Date]],"mmm")</f>
        <v>Mar</v>
      </c>
      <c r="U65" t="str">
        <f>"Q"&amp;ROUNDUP(MONTH(tblTransactions[[#This Row],[Date]])/3,0)</f>
        <v>Q1</v>
      </c>
      <c r="V65">
        <f>MONTH(tblTransactions[[#This Row],[Date]])</f>
        <v>3</v>
      </c>
    </row>
    <row r="66" spans="1:22" x14ac:dyDescent="0.4">
      <c r="A66" t="s">
        <v>140</v>
      </c>
      <c r="B66" s="2">
        <v>46097</v>
      </c>
      <c r="C66">
        <v>2026</v>
      </c>
      <c r="D66" t="s">
        <v>23</v>
      </c>
      <c r="E66" t="s">
        <v>36</v>
      </c>
      <c r="F66" t="s">
        <v>25</v>
      </c>
      <c r="G66" t="s">
        <v>98</v>
      </c>
      <c r="H66" t="s">
        <v>99</v>
      </c>
      <c r="I66" t="s">
        <v>53</v>
      </c>
      <c r="J66" t="s">
        <v>29</v>
      </c>
      <c r="K66" t="s">
        <v>99</v>
      </c>
      <c r="L66" s="3">
        <v>18369</v>
      </c>
      <c r="M66" s="3">
        <v>6210</v>
      </c>
      <c r="N66" t="s">
        <v>41</v>
      </c>
      <c r="O66" t="s">
        <v>55</v>
      </c>
      <c r="P66" t="s">
        <v>32</v>
      </c>
      <c r="Q66" t="s">
        <v>33</v>
      </c>
      <c r="R66" t="s">
        <v>33</v>
      </c>
      <c r="S66" s="3">
        <v>78318</v>
      </c>
      <c r="T66" t="str">
        <f>TEXT(tblTransactions[[#This Row],[Date]],"mmm")</f>
        <v>Mar</v>
      </c>
      <c r="U66" t="str">
        <f>"Q"&amp;ROUNDUP(MONTH(tblTransactions[[#This Row],[Date]])/3,0)</f>
        <v>Q1</v>
      </c>
      <c r="V66">
        <f>MONTH(tblTransactions[[#This Row],[Date]])</f>
        <v>3</v>
      </c>
    </row>
    <row r="67" spans="1:22" x14ac:dyDescent="0.4">
      <c r="A67" t="s">
        <v>141</v>
      </c>
      <c r="B67" s="2">
        <v>46098</v>
      </c>
      <c r="C67">
        <v>2026</v>
      </c>
      <c r="D67" t="s">
        <v>68</v>
      </c>
      <c r="E67" t="s">
        <v>45</v>
      </c>
      <c r="F67" t="s">
        <v>37</v>
      </c>
      <c r="G67" t="s">
        <v>52</v>
      </c>
      <c r="H67" t="s">
        <v>52</v>
      </c>
      <c r="I67" t="s">
        <v>48</v>
      </c>
      <c r="J67" t="s">
        <v>49</v>
      </c>
      <c r="K67" t="s">
        <v>52</v>
      </c>
      <c r="L67" s="3">
        <v>71616</v>
      </c>
      <c r="M67" s="3">
        <v>0</v>
      </c>
      <c r="N67" t="s">
        <v>60</v>
      </c>
      <c r="O67" t="s">
        <v>31</v>
      </c>
      <c r="P67" t="s">
        <v>32</v>
      </c>
      <c r="Q67" t="s">
        <v>34</v>
      </c>
      <c r="R67" t="s">
        <v>34</v>
      </c>
      <c r="S67" s="3">
        <v>149934</v>
      </c>
      <c r="T67" t="str">
        <f>TEXT(tblTransactions[[#This Row],[Date]],"mmm")</f>
        <v>Mar</v>
      </c>
      <c r="U67" t="str">
        <f>"Q"&amp;ROUNDUP(MONTH(tblTransactions[[#This Row],[Date]])/3,0)</f>
        <v>Q1</v>
      </c>
      <c r="V67">
        <f>MONTH(tblTransactions[[#This Row],[Date]])</f>
        <v>3</v>
      </c>
    </row>
    <row r="68" spans="1:22" x14ac:dyDescent="0.4">
      <c r="A68" t="s">
        <v>142</v>
      </c>
      <c r="B68" s="2">
        <v>46099</v>
      </c>
      <c r="C68">
        <v>2026</v>
      </c>
      <c r="D68" t="s">
        <v>23</v>
      </c>
      <c r="E68" t="s">
        <v>36</v>
      </c>
      <c r="F68" t="s">
        <v>25</v>
      </c>
      <c r="G68" t="s">
        <v>104</v>
      </c>
      <c r="H68" t="s">
        <v>105</v>
      </c>
      <c r="I68" t="s">
        <v>44</v>
      </c>
      <c r="J68" t="s">
        <v>49</v>
      </c>
      <c r="K68" t="s">
        <v>105</v>
      </c>
      <c r="L68" s="3">
        <v>14548</v>
      </c>
      <c r="M68" s="3">
        <v>6044</v>
      </c>
      <c r="N68" t="s">
        <v>41</v>
      </c>
      <c r="O68" t="s">
        <v>50</v>
      </c>
      <c r="P68" t="s">
        <v>32</v>
      </c>
      <c r="Q68" t="s">
        <v>34</v>
      </c>
      <c r="R68" t="s">
        <v>34</v>
      </c>
      <c r="S68" s="3">
        <v>135386</v>
      </c>
      <c r="T68" t="str">
        <f>TEXT(tblTransactions[[#This Row],[Date]],"mmm")</f>
        <v>Mar</v>
      </c>
      <c r="U68" t="str">
        <f>"Q"&amp;ROUNDUP(MONTH(tblTransactions[[#This Row],[Date]])/3,0)</f>
        <v>Q1</v>
      </c>
      <c r="V68">
        <f>MONTH(tblTransactions[[#This Row],[Date]])</f>
        <v>3</v>
      </c>
    </row>
    <row r="69" spans="1:22" x14ac:dyDescent="0.4">
      <c r="A69" t="s">
        <v>143</v>
      </c>
      <c r="B69" s="2">
        <v>46100</v>
      </c>
      <c r="C69">
        <v>2026</v>
      </c>
      <c r="D69" t="s">
        <v>44</v>
      </c>
      <c r="E69" t="s">
        <v>45</v>
      </c>
      <c r="F69" t="s">
        <v>25</v>
      </c>
      <c r="G69" t="s">
        <v>26</v>
      </c>
      <c r="H69" t="s">
        <v>27</v>
      </c>
      <c r="I69" t="s">
        <v>53</v>
      </c>
      <c r="J69" t="s">
        <v>90</v>
      </c>
      <c r="K69" t="s">
        <v>27</v>
      </c>
      <c r="L69" s="3">
        <v>10352</v>
      </c>
      <c r="M69" s="3">
        <v>19671</v>
      </c>
      <c r="N69" t="s">
        <v>30</v>
      </c>
      <c r="O69" t="s">
        <v>31</v>
      </c>
      <c r="P69" t="s">
        <v>32</v>
      </c>
      <c r="Q69" t="s">
        <v>34</v>
      </c>
      <c r="R69" t="s">
        <v>34</v>
      </c>
      <c r="S69" s="3">
        <v>125034</v>
      </c>
      <c r="T69" t="str">
        <f>TEXT(tblTransactions[[#This Row],[Date]],"mmm")</f>
        <v>Mar</v>
      </c>
      <c r="U69" t="str">
        <f>"Q"&amp;ROUNDUP(MONTH(tblTransactions[[#This Row],[Date]])/3,0)</f>
        <v>Q1</v>
      </c>
      <c r="V69">
        <f>MONTH(tblTransactions[[#This Row],[Date]])</f>
        <v>3</v>
      </c>
    </row>
    <row r="70" spans="1:22" x14ac:dyDescent="0.4">
      <c r="A70" t="s">
        <v>144</v>
      </c>
      <c r="B70" s="2">
        <v>46101</v>
      </c>
      <c r="C70">
        <v>2026</v>
      </c>
      <c r="D70" t="s">
        <v>44</v>
      </c>
      <c r="E70" t="s">
        <v>36</v>
      </c>
      <c r="F70" t="s">
        <v>25</v>
      </c>
      <c r="G70" t="s">
        <v>70</v>
      </c>
      <c r="H70" t="s">
        <v>71</v>
      </c>
      <c r="I70" t="s">
        <v>39</v>
      </c>
      <c r="J70" t="s">
        <v>49</v>
      </c>
      <c r="K70" t="s">
        <v>71</v>
      </c>
      <c r="L70" s="3">
        <v>13523</v>
      </c>
      <c r="M70" s="3">
        <v>3478</v>
      </c>
      <c r="N70" t="s">
        <v>54</v>
      </c>
      <c r="O70" t="s">
        <v>31</v>
      </c>
      <c r="P70" t="s">
        <v>32</v>
      </c>
      <c r="Q70" t="s">
        <v>34</v>
      </c>
      <c r="R70" t="s">
        <v>34</v>
      </c>
      <c r="S70" s="3">
        <v>111511</v>
      </c>
      <c r="T70" t="str">
        <f>TEXT(tblTransactions[[#This Row],[Date]],"mmm")</f>
        <v>Mar</v>
      </c>
      <c r="U70" t="str">
        <f>"Q"&amp;ROUNDUP(MONTH(tblTransactions[[#This Row],[Date]])/3,0)</f>
        <v>Q1</v>
      </c>
      <c r="V70">
        <f>MONTH(tblTransactions[[#This Row],[Date]])</f>
        <v>3</v>
      </c>
    </row>
    <row r="71" spans="1:22" x14ac:dyDescent="0.4">
      <c r="A71" t="s">
        <v>145</v>
      </c>
      <c r="B71" s="2">
        <v>46102</v>
      </c>
      <c r="C71">
        <v>2026</v>
      </c>
      <c r="D71" t="s">
        <v>44</v>
      </c>
      <c r="E71" t="s">
        <v>24</v>
      </c>
      <c r="F71" t="s">
        <v>25</v>
      </c>
      <c r="G71" t="s">
        <v>73</v>
      </c>
      <c r="H71" t="s">
        <v>74</v>
      </c>
      <c r="I71" t="s">
        <v>44</v>
      </c>
      <c r="J71" t="s">
        <v>59</v>
      </c>
      <c r="K71" t="s">
        <v>74</v>
      </c>
      <c r="L71" s="3">
        <v>16393</v>
      </c>
      <c r="M71" s="3">
        <v>17053</v>
      </c>
      <c r="N71" t="s">
        <v>60</v>
      </c>
      <c r="O71" t="s">
        <v>42</v>
      </c>
      <c r="P71" t="s">
        <v>32</v>
      </c>
      <c r="Q71" t="s">
        <v>34</v>
      </c>
      <c r="R71" t="s">
        <v>33</v>
      </c>
      <c r="S71" s="3">
        <v>95118</v>
      </c>
      <c r="T71" t="str">
        <f>TEXT(tblTransactions[[#This Row],[Date]],"mmm")</f>
        <v>Mar</v>
      </c>
      <c r="U71" t="str">
        <f>"Q"&amp;ROUNDUP(MONTH(tblTransactions[[#This Row],[Date]])/3,0)</f>
        <v>Q1</v>
      </c>
      <c r="V71">
        <f>MONTH(tblTransactions[[#This Row],[Date]])</f>
        <v>3</v>
      </c>
    </row>
    <row r="72" spans="1:22" x14ac:dyDescent="0.4">
      <c r="A72" t="s">
        <v>146</v>
      </c>
      <c r="B72" s="2">
        <v>46104</v>
      </c>
      <c r="C72">
        <v>2026</v>
      </c>
      <c r="D72" t="s">
        <v>68</v>
      </c>
      <c r="E72" t="s">
        <v>45</v>
      </c>
      <c r="F72" t="s">
        <v>25</v>
      </c>
      <c r="G72" t="s">
        <v>57</v>
      </c>
      <c r="H72" t="s">
        <v>40</v>
      </c>
      <c r="I72" t="s">
        <v>44</v>
      </c>
      <c r="J72" t="s">
        <v>111</v>
      </c>
      <c r="K72" t="s">
        <v>40</v>
      </c>
      <c r="L72" s="3">
        <v>7202</v>
      </c>
      <c r="M72" s="3">
        <v>1525</v>
      </c>
      <c r="N72" t="s">
        <v>41</v>
      </c>
      <c r="O72" t="s">
        <v>42</v>
      </c>
      <c r="P72" t="s">
        <v>32</v>
      </c>
      <c r="Q72" t="s">
        <v>33</v>
      </c>
      <c r="R72" t="s">
        <v>34</v>
      </c>
      <c r="S72" s="3">
        <v>87916</v>
      </c>
      <c r="T72" t="str">
        <f>TEXT(tblTransactions[[#This Row],[Date]],"mmm")</f>
        <v>Mar</v>
      </c>
      <c r="U72" t="str">
        <f>"Q"&amp;ROUNDUP(MONTH(tblTransactions[[#This Row],[Date]])/3,0)</f>
        <v>Q1</v>
      </c>
      <c r="V72">
        <f>MONTH(tblTransactions[[#This Row],[Date]])</f>
        <v>3</v>
      </c>
    </row>
    <row r="73" spans="1:22" x14ac:dyDescent="0.4">
      <c r="A73" t="s">
        <v>147</v>
      </c>
      <c r="B73" s="2">
        <v>46105</v>
      </c>
      <c r="C73">
        <v>2026</v>
      </c>
      <c r="D73" t="s">
        <v>23</v>
      </c>
      <c r="E73" t="s">
        <v>36</v>
      </c>
      <c r="F73" t="s">
        <v>25</v>
      </c>
      <c r="G73" t="s">
        <v>63</v>
      </c>
      <c r="H73" t="s">
        <v>64</v>
      </c>
      <c r="I73" t="s">
        <v>39</v>
      </c>
      <c r="J73" t="s">
        <v>65</v>
      </c>
      <c r="K73" t="s">
        <v>64</v>
      </c>
      <c r="L73" s="3">
        <v>8781</v>
      </c>
      <c r="M73" s="3">
        <v>11759</v>
      </c>
      <c r="N73" t="s">
        <v>30</v>
      </c>
      <c r="O73" t="s">
        <v>55</v>
      </c>
      <c r="P73" t="s">
        <v>32</v>
      </c>
      <c r="Q73" t="s">
        <v>34</v>
      </c>
      <c r="R73" t="s">
        <v>34</v>
      </c>
      <c r="S73" s="3">
        <v>79135</v>
      </c>
      <c r="T73" t="str">
        <f>TEXT(tblTransactions[[#This Row],[Date]],"mmm")</f>
        <v>Mar</v>
      </c>
      <c r="U73" t="str">
        <f>"Q"&amp;ROUNDUP(MONTH(tblTransactions[[#This Row],[Date]])/3,0)</f>
        <v>Q1</v>
      </c>
      <c r="V73">
        <f>MONTH(tblTransactions[[#This Row],[Date]])</f>
        <v>3</v>
      </c>
    </row>
    <row r="74" spans="1:22" x14ac:dyDescent="0.4">
      <c r="A74" t="s">
        <v>148</v>
      </c>
      <c r="B74" s="2">
        <v>46106</v>
      </c>
      <c r="C74">
        <v>2026</v>
      </c>
      <c r="D74" t="s">
        <v>23</v>
      </c>
      <c r="E74" t="s">
        <v>45</v>
      </c>
      <c r="F74" t="s">
        <v>25</v>
      </c>
      <c r="G74" t="s">
        <v>63</v>
      </c>
      <c r="H74" t="s">
        <v>64</v>
      </c>
      <c r="I74" t="s">
        <v>39</v>
      </c>
      <c r="J74" t="s">
        <v>90</v>
      </c>
      <c r="K74" t="s">
        <v>64</v>
      </c>
      <c r="L74" s="3">
        <v>13768</v>
      </c>
      <c r="M74" s="3">
        <v>18812</v>
      </c>
      <c r="N74" t="s">
        <v>41</v>
      </c>
      <c r="O74" t="s">
        <v>31</v>
      </c>
      <c r="P74" t="s">
        <v>32</v>
      </c>
      <c r="Q74" t="s">
        <v>34</v>
      </c>
      <c r="R74" t="s">
        <v>34</v>
      </c>
      <c r="S74" s="3">
        <v>65367</v>
      </c>
      <c r="T74" t="str">
        <f>TEXT(tblTransactions[[#This Row],[Date]],"mmm")</f>
        <v>Mar</v>
      </c>
      <c r="U74" t="str">
        <f>"Q"&amp;ROUNDUP(MONTH(tblTransactions[[#This Row],[Date]])/3,0)</f>
        <v>Q1</v>
      </c>
      <c r="V74">
        <f>MONTH(tblTransactions[[#This Row],[Date]])</f>
        <v>3</v>
      </c>
    </row>
    <row r="75" spans="1:22" x14ac:dyDescent="0.4">
      <c r="A75" t="s">
        <v>149</v>
      </c>
      <c r="B75" s="2">
        <v>46107</v>
      </c>
      <c r="C75">
        <v>2026</v>
      </c>
      <c r="D75" t="s">
        <v>23</v>
      </c>
      <c r="E75" t="s">
        <v>86</v>
      </c>
      <c r="F75" t="s">
        <v>25</v>
      </c>
      <c r="G75" t="s">
        <v>57</v>
      </c>
      <c r="H75" t="s">
        <v>40</v>
      </c>
      <c r="I75" t="s">
        <v>44</v>
      </c>
      <c r="J75" t="s">
        <v>74</v>
      </c>
      <c r="K75" t="s">
        <v>40</v>
      </c>
      <c r="L75" s="3">
        <v>4004</v>
      </c>
      <c r="M75" s="3">
        <v>7023</v>
      </c>
      <c r="N75" t="s">
        <v>54</v>
      </c>
      <c r="O75" t="s">
        <v>55</v>
      </c>
      <c r="P75" t="s">
        <v>32</v>
      </c>
      <c r="Q75" t="s">
        <v>33</v>
      </c>
      <c r="R75" t="s">
        <v>33</v>
      </c>
      <c r="S75" s="3">
        <v>61363</v>
      </c>
      <c r="T75" t="str">
        <f>TEXT(tblTransactions[[#This Row],[Date]],"mmm")</f>
        <v>Mar</v>
      </c>
      <c r="U75" t="str">
        <f>"Q"&amp;ROUNDUP(MONTH(tblTransactions[[#This Row],[Date]])/3,0)</f>
        <v>Q1</v>
      </c>
      <c r="V75">
        <f>MONTH(tblTransactions[[#This Row],[Date]])</f>
        <v>3</v>
      </c>
    </row>
    <row r="76" spans="1:22" x14ac:dyDescent="0.4">
      <c r="A76" t="s">
        <v>150</v>
      </c>
      <c r="B76" s="2">
        <v>46108</v>
      </c>
      <c r="C76">
        <v>2026</v>
      </c>
      <c r="D76" t="s">
        <v>23</v>
      </c>
      <c r="E76" t="s">
        <v>45</v>
      </c>
      <c r="F76" t="s">
        <v>37</v>
      </c>
      <c r="G76" t="s">
        <v>93</v>
      </c>
      <c r="H76" t="s">
        <v>94</v>
      </c>
      <c r="I76" t="s">
        <v>48</v>
      </c>
      <c r="J76" t="s">
        <v>49</v>
      </c>
      <c r="K76" t="s">
        <v>94</v>
      </c>
      <c r="L76" s="3">
        <v>33977</v>
      </c>
      <c r="M76" s="3">
        <v>0</v>
      </c>
      <c r="N76" t="s">
        <v>30</v>
      </c>
      <c r="O76" t="s">
        <v>55</v>
      </c>
      <c r="P76" t="s">
        <v>32</v>
      </c>
      <c r="Q76" t="s">
        <v>33</v>
      </c>
      <c r="R76" t="s">
        <v>34</v>
      </c>
      <c r="S76" s="3">
        <v>95340</v>
      </c>
      <c r="T76" t="str">
        <f>TEXT(tblTransactions[[#This Row],[Date]],"mmm")</f>
        <v>Mar</v>
      </c>
      <c r="U76" t="str">
        <f>"Q"&amp;ROUNDUP(MONTH(tblTransactions[[#This Row],[Date]])/3,0)</f>
        <v>Q1</v>
      </c>
      <c r="V76">
        <f>MONTH(tblTransactions[[#This Row],[Date]])</f>
        <v>3</v>
      </c>
    </row>
    <row r="77" spans="1:22" x14ac:dyDescent="0.4">
      <c r="A77" t="s">
        <v>151</v>
      </c>
      <c r="B77" s="2">
        <v>46109</v>
      </c>
      <c r="C77">
        <v>2026</v>
      </c>
      <c r="D77" t="s">
        <v>44</v>
      </c>
      <c r="E77" t="s">
        <v>86</v>
      </c>
      <c r="F77" t="s">
        <v>25</v>
      </c>
      <c r="G77" t="s">
        <v>57</v>
      </c>
      <c r="H77" t="s">
        <v>40</v>
      </c>
      <c r="I77" t="s">
        <v>48</v>
      </c>
      <c r="J77" t="s">
        <v>111</v>
      </c>
      <c r="K77" t="s">
        <v>40</v>
      </c>
      <c r="L77" s="3">
        <v>18980</v>
      </c>
      <c r="M77" s="3">
        <v>11171</v>
      </c>
      <c r="N77" t="s">
        <v>54</v>
      </c>
      <c r="O77" t="s">
        <v>42</v>
      </c>
      <c r="P77" t="s">
        <v>32</v>
      </c>
      <c r="Q77" t="s">
        <v>34</v>
      </c>
      <c r="R77" t="s">
        <v>34</v>
      </c>
      <c r="S77" s="3">
        <v>76360</v>
      </c>
      <c r="T77" t="str">
        <f>TEXT(tblTransactions[[#This Row],[Date]],"mmm")</f>
        <v>Mar</v>
      </c>
      <c r="U77" t="str">
        <f>"Q"&amp;ROUNDUP(MONTH(tblTransactions[[#This Row],[Date]])/3,0)</f>
        <v>Q1</v>
      </c>
      <c r="V77">
        <f>MONTH(tblTransactions[[#This Row],[Date]])</f>
        <v>3</v>
      </c>
    </row>
    <row r="78" spans="1:22" x14ac:dyDescent="0.4">
      <c r="A78" t="s">
        <v>152</v>
      </c>
      <c r="B78" s="2">
        <v>46110</v>
      </c>
      <c r="C78">
        <v>2026</v>
      </c>
      <c r="D78" t="s">
        <v>44</v>
      </c>
      <c r="E78" t="s">
        <v>86</v>
      </c>
      <c r="F78" t="s">
        <v>25</v>
      </c>
      <c r="G78" t="s">
        <v>63</v>
      </c>
      <c r="H78" t="s">
        <v>64</v>
      </c>
      <c r="I78" t="s">
        <v>28</v>
      </c>
      <c r="J78" t="s">
        <v>74</v>
      </c>
      <c r="K78" t="s">
        <v>64</v>
      </c>
      <c r="L78" s="3">
        <v>17246</v>
      </c>
      <c r="M78" s="3">
        <v>10048</v>
      </c>
      <c r="N78" t="s">
        <v>41</v>
      </c>
      <c r="O78" t="s">
        <v>42</v>
      </c>
      <c r="P78" t="s">
        <v>32</v>
      </c>
      <c r="Q78" t="s">
        <v>34</v>
      </c>
      <c r="R78" t="s">
        <v>34</v>
      </c>
      <c r="S78" s="3">
        <v>59114</v>
      </c>
      <c r="T78" t="str">
        <f>TEXT(tblTransactions[[#This Row],[Date]],"mmm")</f>
        <v>Mar</v>
      </c>
      <c r="U78" t="str">
        <f>"Q"&amp;ROUNDUP(MONTH(tblTransactions[[#This Row],[Date]])/3,0)</f>
        <v>Q1</v>
      </c>
      <c r="V78">
        <f>MONTH(tblTransactions[[#This Row],[Date]])</f>
        <v>3</v>
      </c>
    </row>
    <row r="79" spans="1:22" x14ac:dyDescent="0.4">
      <c r="A79" t="s">
        <v>153</v>
      </c>
      <c r="B79" s="2">
        <v>46111</v>
      </c>
      <c r="C79">
        <v>2026</v>
      </c>
      <c r="D79" t="s">
        <v>23</v>
      </c>
      <c r="E79" t="s">
        <v>45</v>
      </c>
      <c r="F79" t="s">
        <v>25</v>
      </c>
      <c r="G79" t="s">
        <v>104</v>
      </c>
      <c r="H79" t="s">
        <v>105</v>
      </c>
      <c r="I79" t="s">
        <v>39</v>
      </c>
      <c r="J79" t="s">
        <v>111</v>
      </c>
      <c r="K79" t="s">
        <v>105</v>
      </c>
      <c r="L79" s="3">
        <v>123</v>
      </c>
      <c r="M79" s="3">
        <v>12295</v>
      </c>
      <c r="N79" t="s">
        <v>30</v>
      </c>
      <c r="O79" t="s">
        <v>42</v>
      </c>
      <c r="P79" t="s">
        <v>32</v>
      </c>
      <c r="Q79" t="s">
        <v>34</v>
      </c>
      <c r="R79" t="s">
        <v>34</v>
      </c>
      <c r="S79" s="3">
        <v>58991</v>
      </c>
      <c r="T79" t="str">
        <f>TEXT(tblTransactions[[#This Row],[Date]],"mmm")</f>
        <v>Mar</v>
      </c>
      <c r="U79" t="str">
        <f>"Q"&amp;ROUNDUP(MONTH(tblTransactions[[#This Row],[Date]])/3,0)</f>
        <v>Q1</v>
      </c>
      <c r="V79">
        <f>MONTH(tblTransactions[[#This Row],[Date]])</f>
        <v>3</v>
      </c>
    </row>
    <row r="80" spans="1:22" x14ac:dyDescent="0.4">
      <c r="A80" t="s">
        <v>154</v>
      </c>
      <c r="B80" s="2">
        <v>46114</v>
      </c>
      <c r="C80">
        <v>2026</v>
      </c>
      <c r="D80" t="s">
        <v>44</v>
      </c>
      <c r="E80" t="s">
        <v>36</v>
      </c>
      <c r="F80" t="s">
        <v>25</v>
      </c>
      <c r="G80" t="s">
        <v>46</v>
      </c>
      <c r="H80" t="s">
        <v>47</v>
      </c>
      <c r="I80" t="s">
        <v>58</v>
      </c>
      <c r="J80" t="s">
        <v>84</v>
      </c>
      <c r="K80" t="s">
        <v>47</v>
      </c>
      <c r="L80" s="3">
        <v>5530</v>
      </c>
      <c r="M80" s="3">
        <v>1484</v>
      </c>
      <c r="N80" t="s">
        <v>60</v>
      </c>
      <c r="O80" t="s">
        <v>31</v>
      </c>
      <c r="P80" t="s">
        <v>32</v>
      </c>
      <c r="Q80" t="s">
        <v>33</v>
      </c>
      <c r="R80" t="s">
        <v>33</v>
      </c>
      <c r="S80" s="3">
        <v>53461</v>
      </c>
      <c r="T80" t="str">
        <f>TEXT(tblTransactions[[#This Row],[Date]],"mmm")</f>
        <v>Apr</v>
      </c>
      <c r="U80" t="str">
        <f>"Q"&amp;ROUNDUP(MONTH(tblTransactions[[#This Row],[Date]])/3,0)</f>
        <v>Q2</v>
      </c>
      <c r="V80">
        <f>MONTH(tblTransactions[[#This Row],[Date]])</f>
        <v>4</v>
      </c>
    </row>
    <row r="81" spans="1:22" x14ac:dyDescent="0.4">
      <c r="A81" t="s">
        <v>155</v>
      </c>
      <c r="B81" s="2">
        <v>46115</v>
      </c>
      <c r="C81">
        <v>2026</v>
      </c>
      <c r="D81" t="s">
        <v>44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59</v>
      </c>
      <c r="K81" t="s">
        <v>27</v>
      </c>
      <c r="L81" s="3">
        <v>17139</v>
      </c>
      <c r="M81" s="3">
        <v>5158</v>
      </c>
      <c r="N81" t="s">
        <v>60</v>
      </c>
      <c r="O81" t="s">
        <v>50</v>
      </c>
      <c r="P81" t="s">
        <v>32</v>
      </c>
      <c r="Q81" t="s">
        <v>33</v>
      </c>
      <c r="R81" t="s">
        <v>33</v>
      </c>
      <c r="S81" s="3">
        <v>36322</v>
      </c>
      <c r="T81" t="str">
        <f>TEXT(tblTransactions[[#This Row],[Date]],"mmm")</f>
        <v>Apr</v>
      </c>
      <c r="U81" t="str">
        <f>"Q"&amp;ROUNDUP(MONTH(tblTransactions[[#This Row],[Date]])/3,0)</f>
        <v>Q2</v>
      </c>
      <c r="V81">
        <f>MONTH(tblTransactions[[#This Row],[Date]])</f>
        <v>4</v>
      </c>
    </row>
    <row r="82" spans="1:22" x14ac:dyDescent="0.4">
      <c r="A82" t="s">
        <v>156</v>
      </c>
      <c r="B82" s="2">
        <v>46116</v>
      </c>
      <c r="C82">
        <v>2026</v>
      </c>
      <c r="D82" t="s">
        <v>68</v>
      </c>
      <c r="E82" t="s">
        <v>36</v>
      </c>
      <c r="F82" t="s">
        <v>37</v>
      </c>
      <c r="G82" t="s">
        <v>38</v>
      </c>
      <c r="H82" t="s">
        <v>38</v>
      </c>
      <c r="I82" t="s">
        <v>39</v>
      </c>
      <c r="J82" t="s">
        <v>111</v>
      </c>
      <c r="K82" t="s">
        <v>38</v>
      </c>
      <c r="L82" s="3">
        <v>73949</v>
      </c>
      <c r="M82" s="3">
        <v>0</v>
      </c>
      <c r="N82" t="s">
        <v>41</v>
      </c>
      <c r="O82" t="s">
        <v>50</v>
      </c>
      <c r="P82" t="s">
        <v>32</v>
      </c>
      <c r="Q82" t="s">
        <v>34</v>
      </c>
      <c r="R82" t="s">
        <v>34</v>
      </c>
      <c r="S82" s="3">
        <v>110271</v>
      </c>
      <c r="T82" t="str">
        <f>TEXT(tblTransactions[[#This Row],[Date]],"mmm")</f>
        <v>Apr</v>
      </c>
      <c r="U82" t="str">
        <f>"Q"&amp;ROUNDUP(MONTH(tblTransactions[[#This Row],[Date]])/3,0)</f>
        <v>Q2</v>
      </c>
      <c r="V82">
        <f>MONTH(tblTransactions[[#This Row],[Date]])</f>
        <v>4</v>
      </c>
    </row>
    <row r="83" spans="1:22" x14ac:dyDescent="0.4">
      <c r="A83" t="s">
        <v>157</v>
      </c>
      <c r="B83" s="2">
        <v>46117</v>
      </c>
      <c r="C83">
        <v>2026</v>
      </c>
      <c r="D83" t="s">
        <v>23</v>
      </c>
      <c r="E83" t="s">
        <v>24</v>
      </c>
      <c r="F83" t="s">
        <v>25</v>
      </c>
      <c r="G83" t="s">
        <v>70</v>
      </c>
      <c r="H83" t="s">
        <v>71</v>
      </c>
      <c r="I83" t="s">
        <v>58</v>
      </c>
      <c r="J83" t="s">
        <v>59</v>
      </c>
      <c r="K83" t="s">
        <v>71</v>
      </c>
      <c r="L83" s="3">
        <v>638</v>
      </c>
      <c r="M83" s="3">
        <v>18187</v>
      </c>
      <c r="N83" t="s">
        <v>30</v>
      </c>
      <c r="O83" t="s">
        <v>50</v>
      </c>
      <c r="P83" t="s">
        <v>32</v>
      </c>
      <c r="Q83" t="s">
        <v>33</v>
      </c>
      <c r="R83" t="s">
        <v>34</v>
      </c>
      <c r="S83" s="3">
        <v>109633</v>
      </c>
      <c r="T83" t="str">
        <f>TEXT(tblTransactions[[#This Row],[Date]],"mmm")</f>
        <v>Apr</v>
      </c>
      <c r="U83" t="str">
        <f>"Q"&amp;ROUNDUP(MONTH(tblTransactions[[#This Row],[Date]])/3,0)</f>
        <v>Q2</v>
      </c>
      <c r="V83">
        <f>MONTH(tblTransactions[[#This Row],[Date]])</f>
        <v>4</v>
      </c>
    </row>
    <row r="84" spans="1:22" x14ac:dyDescent="0.4">
      <c r="A84" t="s">
        <v>158</v>
      </c>
      <c r="B84" s="2">
        <v>46119</v>
      </c>
      <c r="C84">
        <v>2026</v>
      </c>
      <c r="D84" t="s">
        <v>44</v>
      </c>
      <c r="E84" t="s">
        <v>45</v>
      </c>
      <c r="F84" t="s">
        <v>37</v>
      </c>
      <c r="G84" t="s">
        <v>93</v>
      </c>
      <c r="H84" t="s">
        <v>94</v>
      </c>
      <c r="I84" t="s">
        <v>44</v>
      </c>
      <c r="J84" t="s">
        <v>74</v>
      </c>
      <c r="K84" t="s">
        <v>94</v>
      </c>
      <c r="L84" s="3">
        <v>52892</v>
      </c>
      <c r="M84" s="3">
        <v>0</v>
      </c>
      <c r="N84" t="s">
        <v>41</v>
      </c>
      <c r="O84" t="s">
        <v>50</v>
      </c>
      <c r="P84" t="s">
        <v>32</v>
      </c>
      <c r="Q84" t="s">
        <v>33</v>
      </c>
      <c r="R84" t="s">
        <v>34</v>
      </c>
      <c r="S84" s="3">
        <v>162525</v>
      </c>
      <c r="T84" t="str">
        <f>TEXT(tblTransactions[[#This Row],[Date]],"mmm")</f>
        <v>Apr</v>
      </c>
      <c r="U84" t="str">
        <f>"Q"&amp;ROUNDUP(MONTH(tblTransactions[[#This Row],[Date]])/3,0)</f>
        <v>Q2</v>
      </c>
      <c r="V84">
        <f>MONTH(tblTransactions[[#This Row],[Date]])</f>
        <v>4</v>
      </c>
    </row>
    <row r="85" spans="1:22" x14ac:dyDescent="0.4">
      <c r="A85" t="s">
        <v>159</v>
      </c>
      <c r="B85" s="2">
        <v>46120</v>
      </c>
      <c r="C85">
        <v>2026</v>
      </c>
      <c r="D85" t="s">
        <v>23</v>
      </c>
      <c r="E85" t="s">
        <v>24</v>
      </c>
      <c r="F85" t="s">
        <v>37</v>
      </c>
      <c r="G85" t="s">
        <v>77</v>
      </c>
      <c r="H85" t="s">
        <v>78</v>
      </c>
      <c r="I85" t="s">
        <v>39</v>
      </c>
      <c r="J85" t="s">
        <v>111</v>
      </c>
      <c r="K85" t="s">
        <v>78</v>
      </c>
      <c r="L85" s="3">
        <v>39584</v>
      </c>
      <c r="M85" s="3">
        <v>0</v>
      </c>
      <c r="N85" t="s">
        <v>30</v>
      </c>
      <c r="O85" t="s">
        <v>50</v>
      </c>
      <c r="P85" t="s">
        <v>32</v>
      </c>
      <c r="Q85" t="s">
        <v>34</v>
      </c>
      <c r="R85" t="s">
        <v>34</v>
      </c>
      <c r="S85" s="3">
        <v>202109</v>
      </c>
      <c r="T85" t="str">
        <f>TEXT(tblTransactions[[#This Row],[Date]],"mmm")</f>
        <v>Apr</v>
      </c>
      <c r="U85" t="str">
        <f>"Q"&amp;ROUNDUP(MONTH(tblTransactions[[#This Row],[Date]])/3,0)</f>
        <v>Q2</v>
      </c>
      <c r="V85">
        <f>MONTH(tblTransactions[[#This Row],[Date]])</f>
        <v>4</v>
      </c>
    </row>
    <row r="86" spans="1:22" x14ac:dyDescent="0.4">
      <c r="A86" t="s">
        <v>160</v>
      </c>
      <c r="B86" s="2">
        <v>46121</v>
      </c>
      <c r="C86">
        <v>2026</v>
      </c>
      <c r="D86" t="s">
        <v>23</v>
      </c>
      <c r="E86" t="s">
        <v>45</v>
      </c>
      <c r="F86" t="s">
        <v>25</v>
      </c>
      <c r="G86" t="s">
        <v>26</v>
      </c>
      <c r="H86" t="s">
        <v>27</v>
      </c>
      <c r="I86" t="s">
        <v>39</v>
      </c>
      <c r="J86" t="s">
        <v>111</v>
      </c>
      <c r="K86" t="s">
        <v>27</v>
      </c>
      <c r="L86" s="3">
        <v>13904</v>
      </c>
      <c r="M86" s="3">
        <v>4138</v>
      </c>
      <c r="N86" t="s">
        <v>60</v>
      </c>
      <c r="O86" t="s">
        <v>31</v>
      </c>
      <c r="P86" t="s">
        <v>32</v>
      </c>
      <c r="Q86" t="s">
        <v>33</v>
      </c>
      <c r="R86" t="s">
        <v>34</v>
      </c>
      <c r="S86" s="3">
        <v>188205</v>
      </c>
      <c r="T86" t="str">
        <f>TEXT(tblTransactions[[#This Row],[Date]],"mmm")</f>
        <v>Apr</v>
      </c>
      <c r="U86" t="str">
        <f>"Q"&amp;ROUNDUP(MONTH(tblTransactions[[#This Row],[Date]])/3,0)</f>
        <v>Q2</v>
      </c>
      <c r="V86">
        <f>MONTH(tblTransactions[[#This Row],[Date]])</f>
        <v>4</v>
      </c>
    </row>
    <row r="87" spans="1:22" x14ac:dyDescent="0.4">
      <c r="A87" t="s">
        <v>161</v>
      </c>
      <c r="B87" s="2">
        <v>46122</v>
      </c>
      <c r="C87">
        <v>2026</v>
      </c>
      <c r="D87" t="s">
        <v>68</v>
      </c>
      <c r="E87" t="s">
        <v>24</v>
      </c>
      <c r="F87" t="s">
        <v>37</v>
      </c>
      <c r="G87" t="s">
        <v>93</v>
      </c>
      <c r="H87" t="s">
        <v>94</v>
      </c>
      <c r="I87" t="s">
        <v>58</v>
      </c>
      <c r="J87" t="s">
        <v>49</v>
      </c>
      <c r="K87" t="s">
        <v>94</v>
      </c>
      <c r="L87" s="3">
        <v>57497</v>
      </c>
      <c r="M87" s="3">
        <v>0</v>
      </c>
      <c r="N87" t="s">
        <v>30</v>
      </c>
      <c r="O87" t="s">
        <v>55</v>
      </c>
      <c r="P87" t="s">
        <v>32</v>
      </c>
      <c r="Q87" t="s">
        <v>34</v>
      </c>
      <c r="R87" t="s">
        <v>33</v>
      </c>
      <c r="S87" s="3">
        <v>245702</v>
      </c>
      <c r="T87" t="str">
        <f>TEXT(tblTransactions[[#This Row],[Date]],"mmm")</f>
        <v>Apr</v>
      </c>
      <c r="U87" t="str">
        <f>"Q"&amp;ROUNDUP(MONTH(tblTransactions[[#This Row],[Date]])/3,0)</f>
        <v>Q2</v>
      </c>
      <c r="V87">
        <f>MONTH(tblTransactions[[#This Row],[Date]])</f>
        <v>4</v>
      </c>
    </row>
    <row r="88" spans="1:22" x14ac:dyDescent="0.4">
      <c r="A88" t="s">
        <v>162</v>
      </c>
      <c r="B88" s="2">
        <v>46123</v>
      </c>
      <c r="C88">
        <v>2026</v>
      </c>
      <c r="D88" t="s">
        <v>44</v>
      </c>
      <c r="E88" t="s">
        <v>45</v>
      </c>
      <c r="F88" t="s">
        <v>25</v>
      </c>
      <c r="G88" t="s">
        <v>73</v>
      </c>
      <c r="H88" t="s">
        <v>74</v>
      </c>
      <c r="I88" t="s">
        <v>48</v>
      </c>
      <c r="J88" t="s">
        <v>29</v>
      </c>
      <c r="K88" t="s">
        <v>74</v>
      </c>
      <c r="L88" s="3">
        <v>13090</v>
      </c>
      <c r="M88" s="3">
        <v>18270</v>
      </c>
      <c r="N88" t="s">
        <v>60</v>
      </c>
      <c r="O88" t="s">
        <v>31</v>
      </c>
      <c r="P88" t="s">
        <v>32</v>
      </c>
      <c r="Q88" t="s">
        <v>34</v>
      </c>
      <c r="R88" t="s">
        <v>34</v>
      </c>
      <c r="S88" s="3">
        <v>232612</v>
      </c>
      <c r="T88" t="str">
        <f>TEXT(tblTransactions[[#This Row],[Date]],"mmm")</f>
        <v>Apr</v>
      </c>
      <c r="U88" t="str">
        <f>"Q"&amp;ROUNDUP(MONTH(tblTransactions[[#This Row],[Date]])/3,0)</f>
        <v>Q2</v>
      </c>
      <c r="V88">
        <f>MONTH(tblTransactions[[#This Row],[Date]])</f>
        <v>4</v>
      </c>
    </row>
    <row r="89" spans="1:22" x14ac:dyDescent="0.4">
      <c r="A89" t="s">
        <v>163</v>
      </c>
      <c r="B89" s="2">
        <v>46124</v>
      </c>
      <c r="C89">
        <v>2026</v>
      </c>
      <c r="D89" t="s">
        <v>44</v>
      </c>
      <c r="E89" t="s">
        <v>45</v>
      </c>
      <c r="F89" t="s">
        <v>25</v>
      </c>
      <c r="G89" t="s">
        <v>73</v>
      </c>
      <c r="H89" t="s">
        <v>74</v>
      </c>
      <c r="I89" t="s">
        <v>48</v>
      </c>
      <c r="J89" t="s">
        <v>74</v>
      </c>
      <c r="K89" t="s">
        <v>74</v>
      </c>
      <c r="L89" s="3">
        <v>3484</v>
      </c>
      <c r="M89" s="3">
        <v>2950</v>
      </c>
      <c r="N89" t="s">
        <v>41</v>
      </c>
      <c r="O89" t="s">
        <v>42</v>
      </c>
      <c r="P89" t="s">
        <v>32</v>
      </c>
      <c r="Q89" t="s">
        <v>34</v>
      </c>
      <c r="R89" t="s">
        <v>33</v>
      </c>
      <c r="S89" s="3">
        <v>229128</v>
      </c>
      <c r="T89" t="str">
        <f>TEXT(tblTransactions[[#This Row],[Date]],"mmm")</f>
        <v>Apr</v>
      </c>
      <c r="U89" t="str">
        <f>"Q"&amp;ROUNDUP(MONTH(tblTransactions[[#This Row],[Date]])/3,0)</f>
        <v>Q2</v>
      </c>
      <c r="V89">
        <f>MONTH(tblTransactions[[#This Row],[Date]])</f>
        <v>4</v>
      </c>
    </row>
    <row r="90" spans="1:22" x14ac:dyDescent="0.4">
      <c r="A90" t="s">
        <v>164</v>
      </c>
      <c r="B90" s="2">
        <v>46126</v>
      </c>
      <c r="C90">
        <v>2026</v>
      </c>
      <c r="D90" t="s">
        <v>23</v>
      </c>
      <c r="E90" t="s">
        <v>24</v>
      </c>
      <c r="F90" t="s">
        <v>37</v>
      </c>
      <c r="G90" t="s">
        <v>38</v>
      </c>
      <c r="H90" t="s">
        <v>38</v>
      </c>
      <c r="I90" t="s">
        <v>39</v>
      </c>
      <c r="J90" t="s">
        <v>40</v>
      </c>
      <c r="K90" t="s">
        <v>38</v>
      </c>
      <c r="L90" s="3">
        <v>46971</v>
      </c>
      <c r="M90" s="3">
        <v>0</v>
      </c>
      <c r="N90" t="s">
        <v>41</v>
      </c>
      <c r="O90" t="s">
        <v>50</v>
      </c>
      <c r="P90" t="s">
        <v>32</v>
      </c>
      <c r="Q90" t="s">
        <v>34</v>
      </c>
      <c r="R90" t="s">
        <v>34</v>
      </c>
      <c r="S90" s="3">
        <v>276099</v>
      </c>
      <c r="T90" t="str">
        <f>TEXT(tblTransactions[[#This Row],[Date]],"mmm")</f>
        <v>Apr</v>
      </c>
      <c r="U90" t="str">
        <f>"Q"&amp;ROUNDUP(MONTH(tblTransactions[[#This Row],[Date]])/3,0)</f>
        <v>Q2</v>
      </c>
      <c r="V90">
        <f>MONTH(tblTransactions[[#This Row],[Date]])</f>
        <v>4</v>
      </c>
    </row>
    <row r="91" spans="1:22" x14ac:dyDescent="0.4">
      <c r="A91" t="s">
        <v>165</v>
      </c>
      <c r="B91" s="2">
        <v>46127</v>
      </c>
      <c r="C91">
        <v>2026</v>
      </c>
      <c r="D91" t="s">
        <v>68</v>
      </c>
      <c r="E91" t="s">
        <v>24</v>
      </c>
      <c r="F91" t="s">
        <v>25</v>
      </c>
      <c r="G91" t="s">
        <v>104</v>
      </c>
      <c r="H91" t="s">
        <v>105</v>
      </c>
      <c r="I91" t="s">
        <v>28</v>
      </c>
      <c r="J91" t="s">
        <v>49</v>
      </c>
      <c r="K91" t="s">
        <v>105</v>
      </c>
      <c r="L91" s="3">
        <v>7269</v>
      </c>
      <c r="M91" s="3">
        <v>15208</v>
      </c>
      <c r="N91" t="s">
        <v>41</v>
      </c>
      <c r="O91" t="s">
        <v>50</v>
      </c>
      <c r="P91" t="s">
        <v>32</v>
      </c>
      <c r="Q91" t="s">
        <v>34</v>
      </c>
      <c r="R91" t="s">
        <v>34</v>
      </c>
      <c r="S91" s="3">
        <v>268830</v>
      </c>
      <c r="T91" t="str">
        <f>TEXT(tblTransactions[[#This Row],[Date]],"mmm")</f>
        <v>Apr</v>
      </c>
      <c r="U91" t="str">
        <f>"Q"&amp;ROUNDUP(MONTH(tblTransactions[[#This Row],[Date]])/3,0)</f>
        <v>Q2</v>
      </c>
      <c r="V91">
        <f>MONTH(tblTransactions[[#This Row],[Date]])</f>
        <v>4</v>
      </c>
    </row>
    <row r="92" spans="1:22" x14ac:dyDescent="0.4">
      <c r="A92" t="s">
        <v>166</v>
      </c>
      <c r="B92" s="2">
        <v>46128</v>
      </c>
      <c r="C92">
        <v>2026</v>
      </c>
      <c r="D92" t="s">
        <v>23</v>
      </c>
      <c r="E92" t="s">
        <v>36</v>
      </c>
      <c r="F92" t="s">
        <v>25</v>
      </c>
      <c r="G92" t="s">
        <v>104</v>
      </c>
      <c r="H92" t="s">
        <v>105</v>
      </c>
      <c r="I92" t="s">
        <v>58</v>
      </c>
      <c r="J92" t="s">
        <v>74</v>
      </c>
      <c r="K92" t="s">
        <v>105</v>
      </c>
      <c r="L92" s="3">
        <v>14074</v>
      </c>
      <c r="M92" s="3">
        <v>3430</v>
      </c>
      <c r="N92" t="s">
        <v>54</v>
      </c>
      <c r="O92" t="s">
        <v>42</v>
      </c>
      <c r="P92" t="s">
        <v>32</v>
      </c>
      <c r="Q92" t="s">
        <v>33</v>
      </c>
      <c r="R92" t="s">
        <v>34</v>
      </c>
      <c r="S92" s="3">
        <v>254756</v>
      </c>
      <c r="T92" t="str">
        <f>TEXT(tblTransactions[[#This Row],[Date]],"mmm")</f>
        <v>Apr</v>
      </c>
      <c r="U92" t="str">
        <f>"Q"&amp;ROUNDUP(MONTH(tblTransactions[[#This Row],[Date]])/3,0)</f>
        <v>Q2</v>
      </c>
      <c r="V92">
        <f>MONTH(tblTransactions[[#This Row],[Date]])</f>
        <v>4</v>
      </c>
    </row>
    <row r="93" spans="1:22" x14ac:dyDescent="0.4">
      <c r="A93" t="s">
        <v>167</v>
      </c>
      <c r="B93" s="2">
        <v>46129</v>
      </c>
      <c r="C93">
        <v>2026</v>
      </c>
      <c r="D93" t="s">
        <v>44</v>
      </c>
      <c r="E93" t="s">
        <v>36</v>
      </c>
      <c r="F93" t="s">
        <v>25</v>
      </c>
      <c r="G93" t="s">
        <v>63</v>
      </c>
      <c r="H93" t="s">
        <v>64</v>
      </c>
      <c r="I93" t="s">
        <v>48</v>
      </c>
      <c r="J93" t="s">
        <v>49</v>
      </c>
      <c r="K93" t="s">
        <v>64</v>
      </c>
      <c r="L93" s="3">
        <v>534</v>
      </c>
      <c r="M93" s="3">
        <v>17790</v>
      </c>
      <c r="N93" t="s">
        <v>60</v>
      </c>
      <c r="O93" t="s">
        <v>42</v>
      </c>
      <c r="P93" t="s">
        <v>32</v>
      </c>
      <c r="Q93" t="s">
        <v>34</v>
      </c>
      <c r="R93" t="s">
        <v>34</v>
      </c>
      <c r="S93" s="3">
        <v>254222</v>
      </c>
      <c r="T93" t="str">
        <f>TEXT(tblTransactions[[#This Row],[Date]],"mmm")</f>
        <v>Apr</v>
      </c>
      <c r="U93" t="str">
        <f>"Q"&amp;ROUNDUP(MONTH(tblTransactions[[#This Row],[Date]])/3,0)</f>
        <v>Q2</v>
      </c>
      <c r="V93">
        <f>MONTH(tblTransactions[[#This Row],[Date]])</f>
        <v>4</v>
      </c>
    </row>
    <row r="94" spans="1:22" x14ac:dyDescent="0.4">
      <c r="A94" t="s">
        <v>168</v>
      </c>
      <c r="B94" s="2">
        <v>46130</v>
      </c>
      <c r="C94">
        <v>2026</v>
      </c>
      <c r="D94" t="s">
        <v>44</v>
      </c>
      <c r="E94" t="s">
        <v>86</v>
      </c>
      <c r="F94" t="s">
        <v>25</v>
      </c>
      <c r="G94" t="s">
        <v>26</v>
      </c>
      <c r="H94" t="s">
        <v>27</v>
      </c>
      <c r="I94" t="s">
        <v>28</v>
      </c>
      <c r="J94" t="s">
        <v>74</v>
      </c>
      <c r="K94" t="s">
        <v>27</v>
      </c>
      <c r="L94" s="3">
        <v>9632</v>
      </c>
      <c r="M94" s="3">
        <v>13376</v>
      </c>
      <c r="N94" t="s">
        <v>54</v>
      </c>
      <c r="O94" t="s">
        <v>42</v>
      </c>
      <c r="P94" t="s">
        <v>32</v>
      </c>
      <c r="Q94" t="s">
        <v>34</v>
      </c>
      <c r="R94" t="s">
        <v>33</v>
      </c>
      <c r="S94" s="3">
        <v>244590</v>
      </c>
      <c r="T94" t="str">
        <f>TEXT(tblTransactions[[#This Row],[Date]],"mmm")</f>
        <v>Apr</v>
      </c>
      <c r="U94" t="str">
        <f>"Q"&amp;ROUNDUP(MONTH(tblTransactions[[#This Row],[Date]])/3,0)</f>
        <v>Q2</v>
      </c>
      <c r="V94">
        <f>MONTH(tblTransactions[[#This Row],[Date]])</f>
        <v>4</v>
      </c>
    </row>
    <row r="95" spans="1:22" x14ac:dyDescent="0.4">
      <c r="A95" t="s">
        <v>169</v>
      </c>
      <c r="B95" s="2">
        <v>46131</v>
      </c>
      <c r="C95">
        <v>2026</v>
      </c>
      <c r="D95" t="s">
        <v>23</v>
      </c>
      <c r="E95" t="s">
        <v>86</v>
      </c>
      <c r="F95" t="s">
        <v>25</v>
      </c>
      <c r="G95" t="s">
        <v>57</v>
      </c>
      <c r="H95" t="s">
        <v>40</v>
      </c>
      <c r="I95" t="s">
        <v>58</v>
      </c>
      <c r="J95" t="s">
        <v>74</v>
      </c>
      <c r="K95" t="s">
        <v>40</v>
      </c>
      <c r="L95" s="3">
        <v>2874</v>
      </c>
      <c r="M95" s="3">
        <v>5794</v>
      </c>
      <c r="N95" t="s">
        <v>30</v>
      </c>
      <c r="O95" t="s">
        <v>55</v>
      </c>
      <c r="P95" t="s">
        <v>32</v>
      </c>
      <c r="Q95" t="s">
        <v>33</v>
      </c>
      <c r="R95" t="s">
        <v>33</v>
      </c>
      <c r="S95" s="3">
        <v>241716</v>
      </c>
      <c r="T95" t="str">
        <f>TEXT(tblTransactions[[#This Row],[Date]],"mmm")</f>
        <v>Apr</v>
      </c>
      <c r="U95" t="str">
        <f>"Q"&amp;ROUNDUP(MONTH(tblTransactions[[#This Row],[Date]])/3,0)</f>
        <v>Q2</v>
      </c>
      <c r="V95">
        <f>MONTH(tblTransactions[[#This Row],[Date]])</f>
        <v>4</v>
      </c>
    </row>
    <row r="96" spans="1:22" x14ac:dyDescent="0.4">
      <c r="A96" t="s">
        <v>170</v>
      </c>
      <c r="B96" s="2">
        <v>46132</v>
      </c>
      <c r="C96">
        <v>2026</v>
      </c>
      <c r="D96" t="s">
        <v>44</v>
      </c>
      <c r="E96" t="s">
        <v>86</v>
      </c>
      <c r="F96" t="s">
        <v>25</v>
      </c>
      <c r="G96" t="s">
        <v>104</v>
      </c>
      <c r="H96" t="s">
        <v>105</v>
      </c>
      <c r="I96" t="s">
        <v>28</v>
      </c>
      <c r="J96" t="s">
        <v>74</v>
      </c>
      <c r="K96" t="s">
        <v>105</v>
      </c>
      <c r="L96" s="3">
        <v>17776</v>
      </c>
      <c r="M96" s="3">
        <v>15544</v>
      </c>
      <c r="N96" t="s">
        <v>60</v>
      </c>
      <c r="O96" t="s">
        <v>50</v>
      </c>
      <c r="P96" t="s">
        <v>32</v>
      </c>
      <c r="Q96" t="s">
        <v>33</v>
      </c>
      <c r="R96" t="s">
        <v>34</v>
      </c>
      <c r="S96" s="3">
        <v>223940</v>
      </c>
      <c r="T96" t="str">
        <f>TEXT(tblTransactions[[#This Row],[Date]],"mmm")</f>
        <v>Apr</v>
      </c>
      <c r="U96" t="str">
        <f>"Q"&amp;ROUNDUP(MONTH(tblTransactions[[#This Row],[Date]])/3,0)</f>
        <v>Q2</v>
      </c>
      <c r="V96">
        <f>MONTH(tblTransactions[[#This Row],[Date]])</f>
        <v>4</v>
      </c>
    </row>
    <row r="97" spans="1:22" x14ac:dyDescent="0.4">
      <c r="A97" t="s">
        <v>171</v>
      </c>
      <c r="B97" s="2">
        <v>46133</v>
      </c>
      <c r="C97">
        <v>2026</v>
      </c>
      <c r="D97" t="s">
        <v>44</v>
      </c>
      <c r="E97" t="s">
        <v>45</v>
      </c>
      <c r="F97" t="s">
        <v>25</v>
      </c>
      <c r="G97" t="s">
        <v>63</v>
      </c>
      <c r="H97" t="s">
        <v>64</v>
      </c>
      <c r="I97" t="s">
        <v>53</v>
      </c>
      <c r="J97" t="s">
        <v>111</v>
      </c>
      <c r="K97" t="s">
        <v>64</v>
      </c>
      <c r="L97" s="3">
        <v>12386</v>
      </c>
      <c r="M97" s="3">
        <v>11851</v>
      </c>
      <c r="N97" t="s">
        <v>41</v>
      </c>
      <c r="O97" t="s">
        <v>42</v>
      </c>
      <c r="P97" t="s">
        <v>32</v>
      </c>
      <c r="Q97" t="s">
        <v>33</v>
      </c>
      <c r="R97" t="s">
        <v>34</v>
      </c>
      <c r="S97" s="3">
        <v>211554</v>
      </c>
      <c r="T97" t="str">
        <f>TEXT(tblTransactions[[#This Row],[Date]],"mmm")</f>
        <v>Apr</v>
      </c>
      <c r="U97" t="str">
        <f>"Q"&amp;ROUNDUP(MONTH(tblTransactions[[#This Row],[Date]])/3,0)</f>
        <v>Q2</v>
      </c>
      <c r="V97">
        <f>MONTH(tblTransactions[[#This Row],[Date]])</f>
        <v>4</v>
      </c>
    </row>
    <row r="98" spans="1:22" x14ac:dyDescent="0.4">
      <c r="A98" t="s">
        <v>172</v>
      </c>
      <c r="B98" s="2">
        <v>46134</v>
      </c>
      <c r="C98">
        <v>2026</v>
      </c>
      <c r="D98" t="s">
        <v>68</v>
      </c>
      <c r="E98" t="s">
        <v>86</v>
      </c>
      <c r="F98" t="s">
        <v>25</v>
      </c>
      <c r="G98" t="s">
        <v>63</v>
      </c>
      <c r="H98" t="s">
        <v>64</v>
      </c>
      <c r="I98" t="s">
        <v>48</v>
      </c>
      <c r="J98" t="s">
        <v>90</v>
      </c>
      <c r="K98" t="s">
        <v>64</v>
      </c>
      <c r="L98" s="3">
        <v>16676</v>
      </c>
      <c r="M98" s="3">
        <v>16690</v>
      </c>
      <c r="N98" t="s">
        <v>30</v>
      </c>
      <c r="O98" t="s">
        <v>31</v>
      </c>
      <c r="P98" t="s">
        <v>32</v>
      </c>
      <c r="Q98" t="s">
        <v>34</v>
      </c>
      <c r="R98" t="s">
        <v>34</v>
      </c>
      <c r="S98" s="3">
        <v>194878</v>
      </c>
      <c r="T98" t="str">
        <f>TEXT(tblTransactions[[#This Row],[Date]],"mmm")</f>
        <v>Apr</v>
      </c>
      <c r="U98" t="str">
        <f>"Q"&amp;ROUNDUP(MONTH(tblTransactions[[#This Row],[Date]])/3,0)</f>
        <v>Q2</v>
      </c>
      <c r="V98">
        <f>MONTH(tblTransactions[[#This Row],[Date]])</f>
        <v>4</v>
      </c>
    </row>
    <row r="99" spans="1:22" x14ac:dyDescent="0.4">
      <c r="A99" t="s">
        <v>173</v>
      </c>
      <c r="B99" s="2">
        <v>46135</v>
      </c>
      <c r="C99">
        <v>2026</v>
      </c>
      <c r="D99" t="s">
        <v>44</v>
      </c>
      <c r="E99" t="s">
        <v>24</v>
      </c>
      <c r="F99" t="s">
        <v>25</v>
      </c>
      <c r="G99" t="s">
        <v>70</v>
      </c>
      <c r="H99" t="s">
        <v>71</v>
      </c>
      <c r="I99" t="s">
        <v>39</v>
      </c>
      <c r="J99" t="s">
        <v>90</v>
      </c>
      <c r="K99" t="s">
        <v>71</v>
      </c>
      <c r="L99" s="3">
        <v>638</v>
      </c>
      <c r="M99" s="3">
        <v>14902</v>
      </c>
      <c r="N99" t="s">
        <v>60</v>
      </c>
      <c r="O99" t="s">
        <v>55</v>
      </c>
      <c r="P99" t="s">
        <v>32</v>
      </c>
      <c r="Q99" t="s">
        <v>34</v>
      </c>
      <c r="R99" t="s">
        <v>33</v>
      </c>
      <c r="S99" s="3">
        <v>194240</v>
      </c>
      <c r="T99" t="str">
        <f>TEXT(tblTransactions[[#This Row],[Date]],"mmm")</f>
        <v>Apr</v>
      </c>
      <c r="U99" t="str">
        <f>"Q"&amp;ROUNDUP(MONTH(tblTransactions[[#This Row],[Date]])/3,0)</f>
        <v>Q2</v>
      </c>
      <c r="V99">
        <f>MONTH(tblTransactions[[#This Row],[Date]])</f>
        <v>4</v>
      </c>
    </row>
    <row r="100" spans="1:22" x14ac:dyDescent="0.4">
      <c r="A100" t="s">
        <v>174</v>
      </c>
      <c r="B100" s="2">
        <v>46136</v>
      </c>
      <c r="C100">
        <v>2026</v>
      </c>
      <c r="D100" t="s">
        <v>68</v>
      </c>
      <c r="E100" t="s">
        <v>45</v>
      </c>
      <c r="F100" t="s">
        <v>25</v>
      </c>
      <c r="G100" t="s">
        <v>73</v>
      </c>
      <c r="H100" t="s">
        <v>74</v>
      </c>
      <c r="I100" t="s">
        <v>58</v>
      </c>
      <c r="J100" t="s">
        <v>74</v>
      </c>
      <c r="K100" t="s">
        <v>74</v>
      </c>
      <c r="L100" s="3">
        <v>14148</v>
      </c>
      <c r="M100" s="3">
        <v>16584</v>
      </c>
      <c r="N100" t="s">
        <v>54</v>
      </c>
      <c r="O100" t="s">
        <v>55</v>
      </c>
      <c r="P100" t="s">
        <v>32</v>
      </c>
      <c r="Q100" t="s">
        <v>34</v>
      </c>
      <c r="R100" t="s">
        <v>34</v>
      </c>
      <c r="S100" s="3">
        <v>180092</v>
      </c>
      <c r="T100" t="str">
        <f>TEXT(tblTransactions[[#This Row],[Date]],"mmm")</f>
        <v>Apr</v>
      </c>
      <c r="U100" t="str">
        <f>"Q"&amp;ROUNDUP(MONTH(tblTransactions[[#This Row],[Date]])/3,0)</f>
        <v>Q2</v>
      </c>
      <c r="V100">
        <f>MONTH(tblTransactions[[#This Row],[Date]])</f>
        <v>4</v>
      </c>
    </row>
    <row r="101" spans="1:22" x14ac:dyDescent="0.4">
      <c r="A101" t="s">
        <v>175</v>
      </c>
      <c r="B101" s="2">
        <v>46137</v>
      </c>
      <c r="C101">
        <v>2026</v>
      </c>
      <c r="D101" t="s">
        <v>68</v>
      </c>
      <c r="E101" t="s">
        <v>24</v>
      </c>
      <c r="F101" t="s">
        <v>25</v>
      </c>
      <c r="G101" t="s">
        <v>70</v>
      </c>
      <c r="H101" t="s">
        <v>71</v>
      </c>
      <c r="I101" t="s">
        <v>44</v>
      </c>
      <c r="J101" t="s">
        <v>40</v>
      </c>
      <c r="K101" t="s">
        <v>71</v>
      </c>
      <c r="L101" s="3">
        <v>10849</v>
      </c>
      <c r="M101" s="3">
        <v>11937</v>
      </c>
      <c r="N101" t="s">
        <v>41</v>
      </c>
      <c r="O101" t="s">
        <v>42</v>
      </c>
      <c r="P101" t="s">
        <v>32</v>
      </c>
      <c r="Q101" t="s">
        <v>34</v>
      </c>
      <c r="R101" t="s">
        <v>34</v>
      </c>
      <c r="S101" s="3">
        <v>169243</v>
      </c>
      <c r="T101" t="str">
        <f>TEXT(tblTransactions[[#This Row],[Date]],"mmm")</f>
        <v>Apr</v>
      </c>
      <c r="U101" t="str">
        <f>"Q"&amp;ROUNDUP(MONTH(tblTransactions[[#This Row],[Date]])/3,0)</f>
        <v>Q2</v>
      </c>
      <c r="V101">
        <f>MONTH(tblTransactions[[#This Row],[Date]])</f>
        <v>4</v>
      </c>
    </row>
    <row r="102" spans="1:22" x14ac:dyDescent="0.4">
      <c r="A102" t="s">
        <v>176</v>
      </c>
      <c r="B102" s="2">
        <v>46138</v>
      </c>
      <c r="C102">
        <v>2026</v>
      </c>
      <c r="D102" t="s">
        <v>68</v>
      </c>
      <c r="E102" t="s">
        <v>45</v>
      </c>
      <c r="F102" t="s">
        <v>25</v>
      </c>
      <c r="G102" t="s">
        <v>98</v>
      </c>
      <c r="H102" t="s">
        <v>99</v>
      </c>
      <c r="I102" t="s">
        <v>28</v>
      </c>
      <c r="J102" t="s">
        <v>65</v>
      </c>
      <c r="K102" t="s">
        <v>99</v>
      </c>
      <c r="L102" s="3">
        <v>4736</v>
      </c>
      <c r="M102" s="3">
        <v>8254</v>
      </c>
      <c r="N102" t="s">
        <v>41</v>
      </c>
      <c r="O102" t="s">
        <v>50</v>
      </c>
      <c r="P102" t="s">
        <v>32</v>
      </c>
      <c r="Q102" t="s">
        <v>34</v>
      </c>
      <c r="R102" t="s">
        <v>34</v>
      </c>
      <c r="S102" s="3">
        <v>164507</v>
      </c>
      <c r="T102" t="str">
        <f>TEXT(tblTransactions[[#This Row],[Date]],"mmm")</f>
        <v>Apr</v>
      </c>
      <c r="U102" t="str">
        <f>"Q"&amp;ROUNDUP(MONTH(tblTransactions[[#This Row],[Date]])/3,0)</f>
        <v>Q2</v>
      </c>
      <c r="V102">
        <f>MONTH(tblTransactions[[#This Row],[Date]])</f>
        <v>4</v>
      </c>
    </row>
    <row r="103" spans="1:22" x14ac:dyDescent="0.4">
      <c r="A103" t="s">
        <v>177</v>
      </c>
      <c r="B103" s="2">
        <v>46139</v>
      </c>
      <c r="C103">
        <v>2026</v>
      </c>
      <c r="D103" t="s">
        <v>68</v>
      </c>
      <c r="E103" t="s">
        <v>36</v>
      </c>
      <c r="F103" t="s">
        <v>25</v>
      </c>
      <c r="G103" t="s">
        <v>63</v>
      </c>
      <c r="H103" t="s">
        <v>64</v>
      </c>
      <c r="I103" t="s">
        <v>39</v>
      </c>
      <c r="J103" t="s">
        <v>111</v>
      </c>
      <c r="K103" t="s">
        <v>64</v>
      </c>
      <c r="L103" s="3">
        <v>17735</v>
      </c>
      <c r="M103" s="3">
        <v>2413</v>
      </c>
      <c r="N103" t="s">
        <v>41</v>
      </c>
      <c r="O103" t="s">
        <v>50</v>
      </c>
      <c r="P103" t="s">
        <v>32</v>
      </c>
      <c r="Q103" t="s">
        <v>34</v>
      </c>
      <c r="R103" t="s">
        <v>34</v>
      </c>
      <c r="S103" s="3">
        <v>146772</v>
      </c>
      <c r="T103" t="str">
        <f>TEXT(tblTransactions[[#This Row],[Date]],"mmm")</f>
        <v>Apr</v>
      </c>
      <c r="U103" t="str">
        <f>"Q"&amp;ROUNDUP(MONTH(tblTransactions[[#This Row],[Date]])/3,0)</f>
        <v>Q2</v>
      </c>
      <c r="V103">
        <f>MONTH(tblTransactions[[#This Row],[Date]])</f>
        <v>4</v>
      </c>
    </row>
    <row r="104" spans="1:22" x14ac:dyDescent="0.4">
      <c r="A104" t="s">
        <v>178</v>
      </c>
      <c r="B104" s="2">
        <v>46141</v>
      </c>
      <c r="C104">
        <v>2026</v>
      </c>
      <c r="D104" t="s">
        <v>68</v>
      </c>
      <c r="E104" t="s">
        <v>45</v>
      </c>
      <c r="F104" t="s">
        <v>25</v>
      </c>
      <c r="G104" t="s">
        <v>57</v>
      </c>
      <c r="H104" t="s">
        <v>40</v>
      </c>
      <c r="I104" t="s">
        <v>39</v>
      </c>
      <c r="J104" t="s">
        <v>74</v>
      </c>
      <c r="K104" t="s">
        <v>40</v>
      </c>
      <c r="L104" s="3">
        <v>11877</v>
      </c>
      <c r="M104" s="3">
        <v>9320</v>
      </c>
      <c r="N104" t="s">
        <v>30</v>
      </c>
      <c r="O104" t="s">
        <v>55</v>
      </c>
      <c r="P104" t="s">
        <v>32</v>
      </c>
      <c r="Q104" t="s">
        <v>34</v>
      </c>
      <c r="R104" t="s">
        <v>34</v>
      </c>
      <c r="S104" s="3">
        <v>134895</v>
      </c>
      <c r="T104" t="str">
        <f>TEXT(tblTransactions[[#This Row],[Date]],"mmm")</f>
        <v>Apr</v>
      </c>
      <c r="U104" t="str">
        <f>"Q"&amp;ROUNDUP(MONTH(tblTransactions[[#This Row],[Date]])/3,0)</f>
        <v>Q2</v>
      </c>
      <c r="V104">
        <f>MONTH(tblTransactions[[#This Row],[Date]])</f>
        <v>4</v>
      </c>
    </row>
    <row r="105" spans="1:22" x14ac:dyDescent="0.4">
      <c r="A105" t="s">
        <v>179</v>
      </c>
      <c r="B105" s="2">
        <v>46142</v>
      </c>
      <c r="C105">
        <v>2026</v>
      </c>
      <c r="D105" t="s">
        <v>23</v>
      </c>
      <c r="E105" t="s">
        <v>24</v>
      </c>
      <c r="F105" t="s">
        <v>25</v>
      </c>
      <c r="G105" t="s">
        <v>63</v>
      </c>
      <c r="H105" t="s">
        <v>64</v>
      </c>
      <c r="I105" t="s">
        <v>39</v>
      </c>
      <c r="J105" t="s">
        <v>84</v>
      </c>
      <c r="K105" t="s">
        <v>64</v>
      </c>
      <c r="L105" s="3">
        <v>10248</v>
      </c>
      <c r="M105" s="3">
        <v>13554</v>
      </c>
      <c r="N105" t="s">
        <v>30</v>
      </c>
      <c r="O105" t="s">
        <v>55</v>
      </c>
      <c r="P105" t="s">
        <v>32</v>
      </c>
      <c r="Q105" t="s">
        <v>34</v>
      </c>
      <c r="R105" t="s">
        <v>34</v>
      </c>
      <c r="S105" s="3">
        <v>124647</v>
      </c>
      <c r="T105" t="str">
        <f>TEXT(tblTransactions[[#This Row],[Date]],"mmm")</f>
        <v>Apr</v>
      </c>
      <c r="U105" t="str">
        <f>"Q"&amp;ROUNDUP(MONTH(tblTransactions[[#This Row],[Date]])/3,0)</f>
        <v>Q2</v>
      </c>
      <c r="V105">
        <f>MONTH(tblTransactions[[#This Row],[Date]])</f>
        <v>4</v>
      </c>
    </row>
    <row r="106" spans="1:22" x14ac:dyDescent="0.4">
      <c r="A106" t="s">
        <v>180</v>
      </c>
      <c r="B106" s="2">
        <v>46143</v>
      </c>
      <c r="C106">
        <v>2026</v>
      </c>
      <c r="D106" t="s">
        <v>44</v>
      </c>
      <c r="E106" t="s">
        <v>45</v>
      </c>
      <c r="F106" t="s">
        <v>25</v>
      </c>
      <c r="G106" t="s">
        <v>57</v>
      </c>
      <c r="H106" t="s">
        <v>40</v>
      </c>
      <c r="I106" t="s">
        <v>58</v>
      </c>
      <c r="J106" t="s">
        <v>29</v>
      </c>
      <c r="K106" t="s">
        <v>40</v>
      </c>
      <c r="L106" s="3">
        <v>10608</v>
      </c>
      <c r="M106" s="3">
        <v>13280</v>
      </c>
      <c r="N106" t="s">
        <v>60</v>
      </c>
      <c r="O106" t="s">
        <v>31</v>
      </c>
      <c r="P106" t="s">
        <v>32</v>
      </c>
      <c r="Q106" t="s">
        <v>33</v>
      </c>
      <c r="R106" t="s">
        <v>34</v>
      </c>
      <c r="S106" s="3">
        <v>114039</v>
      </c>
      <c r="T106" t="str">
        <f>TEXT(tblTransactions[[#This Row],[Date]],"mmm")</f>
        <v>May</v>
      </c>
      <c r="U106" t="str">
        <f>"Q"&amp;ROUNDUP(MONTH(tblTransactions[[#This Row],[Date]])/3,0)</f>
        <v>Q2</v>
      </c>
      <c r="V106">
        <f>MONTH(tblTransactions[[#This Row],[Date]])</f>
        <v>5</v>
      </c>
    </row>
    <row r="107" spans="1:22" x14ac:dyDescent="0.4">
      <c r="A107" t="s">
        <v>181</v>
      </c>
      <c r="B107" s="2">
        <v>46144</v>
      </c>
      <c r="C107">
        <v>2026</v>
      </c>
      <c r="D107" t="s">
        <v>68</v>
      </c>
      <c r="E107" t="s">
        <v>45</v>
      </c>
      <c r="F107" t="s">
        <v>25</v>
      </c>
      <c r="G107" t="s">
        <v>46</v>
      </c>
      <c r="H107" t="s">
        <v>47</v>
      </c>
      <c r="I107" t="s">
        <v>53</v>
      </c>
      <c r="J107" t="s">
        <v>111</v>
      </c>
      <c r="K107" t="s">
        <v>47</v>
      </c>
      <c r="L107" s="3">
        <v>14406</v>
      </c>
      <c r="M107" s="3">
        <v>3361</v>
      </c>
      <c r="N107" t="s">
        <v>41</v>
      </c>
      <c r="O107" t="s">
        <v>55</v>
      </c>
      <c r="P107" t="s">
        <v>32</v>
      </c>
      <c r="Q107" t="s">
        <v>34</v>
      </c>
      <c r="R107" t="s">
        <v>34</v>
      </c>
      <c r="S107" s="3">
        <v>99633</v>
      </c>
      <c r="T107" t="str">
        <f>TEXT(tblTransactions[[#This Row],[Date]],"mmm")</f>
        <v>May</v>
      </c>
      <c r="U107" t="str">
        <f>"Q"&amp;ROUNDUP(MONTH(tblTransactions[[#This Row],[Date]])/3,0)</f>
        <v>Q2</v>
      </c>
      <c r="V107">
        <f>MONTH(tblTransactions[[#This Row],[Date]])</f>
        <v>5</v>
      </c>
    </row>
    <row r="108" spans="1:22" x14ac:dyDescent="0.4">
      <c r="A108" t="s">
        <v>182</v>
      </c>
      <c r="B108" s="2">
        <v>46145</v>
      </c>
      <c r="C108">
        <v>2026</v>
      </c>
      <c r="D108" t="s">
        <v>23</v>
      </c>
      <c r="E108" t="s">
        <v>86</v>
      </c>
      <c r="F108" t="s">
        <v>25</v>
      </c>
      <c r="G108" t="s">
        <v>26</v>
      </c>
      <c r="H108" t="s">
        <v>27</v>
      </c>
      <c r="I108" t="s">
        <v>44</v>
      </c>
      <c r="J108" t="s">
        <v>49</v>
      </c>
      <c r="K108" t="s">
        <v>27</v>
      </c>
      <c r="L108" s="3">
        <v>16043</v>
      </c>
      <c r="M108" s="3">
        <v>3769</v>
      </c>
      <c r="N108" t="s">
        <v>54</v>
      </c>
      <c r="O108" t="s">
        <v>55</v>
      </c>
      <c r="P108" t="s">
        <v>32</v>
      </c>
      <c r="Q108" t="s">
        <v>34</v>
      </c>
      <c r="R108" t="s">
        <v>34</v>
      </c>
      <c r="S108" s="3">
        <v>83590</v>
      </c>
      <c r="T108" t="str">
        <f>TEXT(tblTransactions[[#This Row],[Date]],"mmm")</f>
        <v>May</v>
      </c>
      <c r="U108" t="str">
        <f>"Q"&amp;ROUNDUP(MONTH(tblTransactions[[#This Row],[Date]])/3,0)</f>
        <v>Q2</v>
      </c>
      <c r="V108">
        <f>MONTH(tblTransactions[[#This Row],[Date]])</f>
        <v>5</v>
      </c>
    </row>
    <row r="109" spans="1:22" x14ac:dyDescent="0.4">
      <c r="A109" t="s">
        <v>183</v>
      </c>
      <c r="B109" s="2">
        <v>46146</v>
      </c>
      <c r="C109">
        <v>2026</v>
      </c>
      <c r="D109" t="s">
        <v>44</v>
      </c>
      <c r="E109" t="s">
        <v>36</v>
      </c>
      <c r="F109" t="s">
        <v>37</v>
      </c>
      <c r="G109" t="s">
        <v>93</v>
      </c>
      <c r="H109" t="s">
        <v>94</v>
      </c>
      <c r="I109" t="s">
        <v>44</v>
      </c>
      <c r="J109" t="s">
        <v>84</v>
      </c>
      <c r="K109" t="s">
        <v>94</v>
      </c>
      <c r="L109" s="3">
        <v>60541</v>
      </c>
      <c r="M109" s="3">
        <v>0</v>
      </c>
      <c r="N109" t="s">
        <v>54</v>
      </c>
      <c r="O109" t="s">
        <v>55</v>
      </c>
      <c r="P109" t="s">
        <v>32</v>
      </c>
      <c r="Q109" t="s">
        <v>34</v>
      </c>
      <c r="R109" t="s">
        <v>33</v>
      </c>
      <c r="S109" s="3">
        <v>144131</v>
      </c>
      <c r="T109" t="str">
        <f>TEXT(tblTransactions[[#This Row],[Date]],"mmm")</f>
        <v>May</v>
      </c>
      <c r="U109" t="str">
        <f>"Q"&amp;ROUNDUP(MONTH(tblTransactions[[#This Row],[Date]])/3,0)</f>
        <v>Q2</v>
      </c>
      <c r="V109">
        <f>MONTH(tblTransactions[[#This Row],[Date]])</f>
        <v>5</v>
      </c>
    </row>
    <row r="110" spans="1:22" x14ac:dyDescent="0.4">
      <c r="A110" t="s">
        <v>184</v>
      </c>
      <c r="B110" s="2">
        <v>46147</v>
      </c>
      <c r="C110">
        <v>2026</v>
      </c>
      <c r="D110" t="s">
        <v>44</v>
      </c>
      <c r="E110" t="s">
        <v>45</v>
      </c>
      <c r="F110" t="s">
        <v>37</v>
      </c>
      <c r="G110" t="s">
        <v>52</v>
      </c>
      <c r="H110" t="s">
        <v>52</v>
      </c>
      <c r="I110" t="s">
        <v>48</v>
      </c>
      <c r="J110" t="s">
        <v>111</v>
      </c>
      <c r="K110" t="s">
        <v>52</v>
      </c>
      <c r="L110" s="3">
        <v>14870</v>
      </c>
      <c r="M110" s="3">
        <v>0</v>
      </c>
      <c r="N110" t="s">
        <v>54</v>
      </c>
      <c r="O110" t="s">
        <v>55</v>
      </c>
      <c r="P110" t="s">
        <v>32</v>
      </c>
      <c r="Q110" t="s">
        <v>33</v>
      </c>
      <c r="R110" t="s">
        <v>34</v>
      </c>
      <c r="S110" s="3">
        <v>159001</v>
      </c>
      <c r="T110" t="str">
        <f>TEXT(tblTransactions[[#This Row],[Date]],"mmm")</f>
        <v>May</v>
      </c>
      <c r="U110" t="str">
        <f>"Q"&amp;ROUNDUP(MONTH(tblTransactions[[#This Row],[Date]])/3,0)</f>
        <v>Q2</v>
      </c>
      <c r="V110">
        <f>MONTH(tblTransactions[[#This Row],[Date]])</f>
        <v>5</v>
      </c>
    </row>
    <row r="111" spans="1:22" x14ac:dyDescent="0.4">
      <c r="A111" t="s">
        <v>185</v>
      </c>
      <c r="B111" s="2">
        <v>46148</v>
      </c>
      <c r="C111">
        <v>2026</v>
      </c>
      <c r="D111" t="s">
        <v>23</v>
      </c>
      <c r="E111" t="s">
        <v>24</v>
      </c>
      <c r="F111" t="s">
        <v>25</v>
      </c>
      <c r="G111" t="s">
        <v>73</v>
      </c>
      <c r="H111" t="s">
        <v>74</v>
      </c>
      <c r="I111" t="s">
        <v>28</v>
      </c>
      <c r="J111" t="s">
        <v>84</v>
      </c>
      <c r="K111" t="s">
        <v>74</v>
      </c>
      <c r="L111" s="3">
        <v>15426</v>
      </c>
      <c r="M111" s="3">
        <v>16030</v>
      </c>
      <c r="N111" t="s">
        <v>54</v>
      </c>
      <c r="O111" t="s">
        <v>50</v>
      </c>
      <c r="P111" t="s">
        <v>32</v>
      </c>
      <c r="Q111" t="s">
        <v>34</v>
      </c>
      <c r="R111" t="s">
        <v>34</v>
      </c>
      <c r="S111" s="3">
        <v>143575</v>
      </c>
      <c r="T111" t="str">
        <f>TEXT(tblTransactions[[#This Row],[Date]],"mmm")</f>
        <v>May</v>
      </c>
      <c r="U111" t="str">
        <f>"Q"&amp;ROUNDUP(MONTH(tblTransactions[[#This Row],[Date]])/3,0)</f>
        <v>Q2</v>
      </c>
      <c r="V111">
        <f>MONTH(tblTransactions[[#This Row],[Date]])</f>
        <v>5</v>
      </c>
    </row>
    <row r="112" spans="1:22" x14ac:dyDescent="0.4">
      <c r="A112" t="s">
        <v>186</v>
      </c>
      <c r="B112" s="2">
        <v>46149</v>
      </c>
      <c r="C112">
        <v>2026</v>
      </c>
      <c r="D112" t="s">
        <v>23</v>
      </c>
      <c r="E112" t="s">
        <v>45</v>
      </c>
      <c r="F112" t="s">
        <v>37</v>
      </c>
      <c r="G112" t="s">
        <v>38</v>
      </c>
      <c r="H112" t="s">
        <v>38</v>
      </c>
      <c r="I112" t="s">
        <v>28</v>
      </c>
      <c r="J112" t="s">
        <v>84</v>
      </c>
      <c r="K112" t="s">
        <v>38</v>
      </c>
      <c r="L112" s="3">
        <v>15138</v>
      </c>
      <c r="M112" s="3">
        <v>0</v>
      </c>
      <c r="N112" t="s">
        <v>60</v>
      </c>
      <c r="O112" t="s">
        <v>50</v>
      </c>
      <c r="P112" t="s">
        <v>32</v>
      </c>
      <c r="Q112" t="s">
        <v>34</v>
      </c>
      <c r="R112" t="s">
        <v>34</v>
      </c>
      <c r="S112" s="3">
        <v>158713</v>
      </c>
      <c r="T112" t="str">
        <f>TEXT(tblTransactions[[#This Row],[Date]],"mmm")</f>
        <v>May</v>
      </c>
      <c r="U112" t="str">
        <f>"Q"&amp;ROUNDUP(MONTH(tblTransactions[[#This Row],[Date]])/3,0)</f>
        <v>Q2</v>
      </c>
      <c r="V112">
        <f>MONTH(tblTransactions[[#This Row],[Date]])</f>
        <v>5</v>
      </c>
    </row>
    <row r="113" spans="1:22" x14ac:dyDescent="0.4">
      <c r="A113" t="s">
        <v>187</v>
      </c>
      <c r="B113" s="2">
        <v>46150</v>
      </c>
      <c r="C113">
        <v>2026</v>
      </c>
      <c r="D113" t="s">
        <v>44</v>
      </c>
      <c r="E113" t="s">
        <v>36</v>
      </c>
      <c r="F113" t="s">
        <v>25</v>
      </c>
      <c r="G113" t="s">
        <v>57</v>
      </c>
      <c r="H113" t="s">
        <v>40</v>
      </c>
      <c r="I113" t="s">
        <v>44</v>
      </c>
      <c r="J113" t="s">
        <v>90</v>
      </c>
      <c r="K113" t="s">
        <v>40</v>
      </c>
      <c r="L113" s="3">
        <v>14919</v>
      </c>
      <c r="M113" s="3">
        <v>13384</v>
      </c>
      <c r="N113" t="s">
        <v>60</v>
      </c>
      <c r="O113" t="s">
        <v>31</v>
      </c>
      <c r="P113" t="s">
        <v>32</v>
      </c>
      <c r="Q113" t="s">
        <v>34</v>
      </c>
      <c r="R113" t="s">
        <v>34</v>
      </c>
      <c r="S113" s="3">
        <v>143794</v>
      </c>
      <c r="T113" t="str">
        <f>TEXT(tblTransactions[[#This Row],[Date]],"mmm")</f>
        <v>May</v>
      </c>
      <c r="U113" t="str">
        <f>"Q"&amp;ROUNDUP(MONTH(tblTransactions[[#This Row],[Date]])/3,0)</f>
        <v>Q2</v>
      </c>
      <c r="V113">
        <f>MONTH(tblTransactions[[#This Row],[Date]])</f>
        <v>5</v>
      </c>
    </row>
    <row r="114" spans="1:22" x14ac:dyDescent="0.4">
      <c r="A114" t="s">
        <v>188</v>
      </c>
      <c r="B114" s="2">
        <v>46152</v>
      </c>
      <c r="C114">
        <v>2026</v>
      </c>
      <c r="D114" t="s">
        <v>23</v>
      </c>
      <c r="E114" t="s">
        <v>45</v>
      </c>
      <c r="F114" t="s">
        <v>25</v>
      </c>
      <c r="G114" t="s">
        <v>63</v>
      </c>
      <c r="H114" t="s">
        <v>64</v>
      </c>
      <c r="I114" t="s">
        <v>48</v>
      </c>
      <c r="J114" t="s">
        <v>59</v>
      </c>
      <c r="K114" t="s">
        <v>64</v>
      </c>
      <c r="L114" s="3">
        <v>12133</v>
      </c>
      <c r="M114" s="3">
        <v>7777</v>
      </c>
      <c r="N114" t="s">
        <v>54</v>
      </c>
      <c r="O114" t="s">
        <v>31</v>
      </c>
      <c r="P114" t="s">
        <v>32</v>
      </c>
      <c r="Q114" t="s">
        <v>33</v>
      </c>
      <c r="R114" t="s">
        <v>33</v>
      </c>
      <c r="S114" s="3">
        <v>131661</v>
      </c>
      <c r="T114" t="str">
        <f>TEXT(tblTransactions[[#This Row],[Date]],"mmm")</f>
        <v>May</v>
      </c>
      <c r="U114" t="str">
        <f>"Q"&amp;ROUNDUP(MONTH(tblTransactions[[#This Row],[Date]])/3,0)</f>
        <v>Q2</v>
      </c>
      <c r="V114">
        <f>MONTH(tblTransactions[[#This Row],[Date]])</f>
        <v>5</v>
      </c>
    </row>
    <row r="115" spans="1:22" x14ac:dyDescent="0.4">
      <c r="A115" t="s">
        <v>189</v>
      </c>
      <c r="B115" s="2">
        <v>46153</v>
      </c>
      <c r="C115">
        <v>2026</v>
      </c>
      <c r="D115" t="s">
        <v>68</v>
      </c>
      <c r="E115" t="s">
        <v>86</v>
      </c>
      <c r="F115" t="s">
        <v>25</v>
      </c>
      <c r="G115" t="s">
        <v>46</v>
      </c>
      <c r="H115" t="s">
        <v>47</v>
      </c>
      <c r="I115" t="s">
        <v>28</v>
      </c>
      <c r="J115" t="s">
        <v>84</v>
      </c>
      <c r="K115" t="s">
        <v>47</v>
      </c>
      <c r="L115" s="3">
        <v>7329</v>
      </c>
      <c r="M115" s="3">
        <v>4544</v>
      </c>
      <c r="N115" t="s">
        <v>60</v>
      </c>
      <c r="O115" t="s">
        <v>31</v>
      </c>
      <c r="P115" t="s">
        <v>32</v>
      </c>
      <c r="Q115" t="s">
        <v>34</v>
      </c>
      <c r="R115" t="s">
        <v>34</v>
      </c>
      <c r="S115" s="3">
        <v>124332</v>
      </c>
      <c r="T115" t="str">
        <f>TEXT(tblTransactions[[#This Row],[Date]],"mmm")</f>
        <v>May</v>
      </c>
      <c r="U115" t="str">
        <f>"Q"&amp;ROUNDUP(MONTH(tblTransactions[[#This Row],[Date]])/3,0)</f>
        <v>Q2</v>
      </c>
      <c r="V115">
        <f>MONTH(tblTransactions[[#This Row],[Date]])</f>
        <v>5</v>
      </c>
    </row>
    <row r="116" spans="1:22" x14ac:dyDescent="0.4">
      <c r="A116" t="s">
        <v>190</v>
      </c>
      <c r="B116" s="2">
        <v>46154</v>
      </c>
      <c r="C116">
        <v>2026</v>
      </c>
      <c r="D116" t="s">
        <v>44</v>
      </c>
      <c r="E116" t="s">
        <v>45</v>
      </c>
      <c r="F116" t="s">
        <v>25</v>
      </c>
      <c r="G116" t="s">
        <v>46</v>
      </c>
      <c r="H116" t="s">
        <v>47</v>
      </c>
      <c r="I116" t="s">
        <v>48</v>
      </c>
      <c r="J116" t="s">
        <v>59</v>
      </c>
      <c r="K116" t="s">
        <v>47</v>
      </c>
      <c r="L116" s="3">
        <v>10450</v>
      </c>
      <c r="M116" s="3">
        <v>5634</v>
      </c>
      <c r="N116" t="s">
        <v>54</v>
      </c>
      <c r="O116" t="s">
        <v>42</v>
      </c>
      <c r="P116" t="s">
        <v>32</v>
      </c>
      <c r="Q116" t="s">
        <v>33</v>
      </c>
      <c r="R116" t="s">
        <v>33</v>
      </c>
      <c r="S116" s="3">
        <v>113882</v>
      </c>
      <c r="T116" t="str">
        <f>TEXT(tblTransactions[[#This Row],[Date]],"mmm")</f>
        <v>May</v>
      </c>
      <c r="U116" t="str">
        <f>"Q"&amp;ROUNDUP(MONTH(tblTransactions[[#This Row],[Date]])/3,0)</f>
        <v>Q2</v>
      </c>
      <c r="V116">
        <f>MONTH(tblTransactions[[#This Row],[Date]])</f>
        <v>5</v>
      </c>
    </row>
    <row r="117" spans="1:22" x14ac:dyDescent="0.4">
      <c r="A117" t="s">
        <v>191</v>
      </c>
      <c r="B117" s="2">
        <v>46155</v>
      </c>
      <c r="C117">
        <v>2026</v>
      </c>
      <c r="D117" t="s">
        <v>68</v>
      </c>
      <c r="E117" t="s">
        <v>24</v>
      </c>
      <c r="F117" t="s">
        <v>25</v>
      </c>
      <c r="G117" t="s">
        <v>98</v>
      </c>
      <c r="H117" t="s">
        <v>99</v>
      </c>
      <c r="I117" t="s">
        <v>44</v>
      </c>
      <c r="J117" t="s">
        <v>40</v>
      </c>
      <c r="K117" t="s">
        <v>99</v>
      </c>
      <c r="L117" s="3">
        <v>2049</v>
      </c>
      <c r="M117" s="3">
        <v>2089</v>
      </c>
      <c r="N117" t="s">
        <v>30</v>
      </c>
      <c r="O117" t="s">
        <v>42</v>
      </c>
      <c r="P117" t="s">
        <v>32</v>
      </c>
      <c r="Q117" t="s">
        <v>34</v>
      </c>
      <c r="R117" t="s">
        <v>34</v>
      </c>
      <c r="S117" s="3">
        <v>111833</v>
      </c>
      <c r="T117" t="str">
        <f>TEXT(tblTransactions[[#This Row],[Date]],"mmm")</f>
        <v>May</v>
      </c>
      <c r="U117" t="str">
        <f>"Q"&amp;ROUNDUP(MONTH(tblTransactions[[#This Row],[Date]])/3,0)</f>
        <v>Q2</v>
      </c>
      <c r="V117">
        <f>MONTH(tblTransactions[[#This Row],[Date]])</f>
        <v>5</v>
      </c>
    </row>
    <row r="118" spans="1:22" x14ac:dyDescent="0.4">
      <c r="A118" t="s">
        <v>192</v>
      </c>
      <c r="B118" s="2">
        <v>46156</v>
      </c>
      <c r="C118">
        <v>2026</v>
      </c>
      <c r="D118" t="s">
        <v>23</v>
      </c>
      <c r="E118" t="s">
        <v>45</v>
      </c>
      <c r="F118" t="s">
        <v>25</v>
      </c>
      <c r="G118" t="s">
        <v>98</v>
      </c>
      <c r="H118" t="s">
        <v>99</v>
      </c>
      <c r="I118" t="s">
        <v>39</v>
      </c>
      <c r="J118" t="s">
        <v>65</v>
      </c>
      <c r="K118" t="s">
        <v>99</v>
      </c>
      <c r="L118" s="3">
        <v>5638</v>
      </c>
      <c r="M118" s="3">
        <v>7611</v>
      </c>
      <c r="N118" t="s">
        <v>41</v>
      </c>
      <c r="O118" t="s">
        <v>42</v>
      </c>
      <c r="P118" t="s">
        <v>32</v>
      </c>
      <c r="Q118" t="s">
        <v>34</v>
      </c>
      <c r="R118" t="s">
        <v>33</v>
      </c>
      <c r="S118" s="3">
        <v>106195</v>
      </c>
      <c r="T118" t="str">
        <f>TEXT(tblTransactions[[#This Row],[Date]],"mmm")</f>
        <v>May</v>
      </c>
      <c r="U118" t="str">
        <f>"Q"&amp;ROUNDUP(MONTH(tblTransactions[[#This Row],[Date]])/3,0)</f>
        <v>Q2</v>
      </c>
      <c r="V118">
        <f>MONTH(tblTransactions[[#This Row],[Date]])</f>
        <v>5</v>
      </c>
    </row>
    <row r="119" spans="1:22" x14ac:dyDescent="0.4">
      <c r="A119" t="s">
        <v>193</v>
      </c>
      <c r="B119" s="2">
        <v>46157</v>
      </c>
      <c r="C119">
        <v>2026</v>
      </c>
      <c r="D119" t="s">
        <v>68</v>
      </c>
      <c r="E119" t="s">
        <v>36</v>
      </c>
      <c r="F119" t="s">
        <v>25</v>
      </c>
      <c r="G119" t="s">
        <v>46</v>
      </c>
      <c r="H119" t="s">
        <v>47</v>
      </c>
      <c r="I119" t="s">
        <v>53</v>
      </c>
      <c r="J119" t="s">
        <v>29</v>
      </c>
      <c r="K119" t="s">
        <v>47</v>
      </c>
      <c r="L119" s="3">
        <v>14167</v>
      </c>
      <c r="M119" s="3">
        <v>7927</v>
      </c>
      <c r="N119" t="s">
        <v>41</v>
      </c>
      <c r="O119" t="s">
        <v>55</v>
      </c>
      <c r="P119" t="s">
        <v>32</v>
      </c>
      <c r="Q119" t="s">
        <v>33</v>
      </c>
      <c r="R119" t="s">
        <v>34</v>
      </c>
      <c r="S119" s="3">
        <v>92028</v>
      </c>
      <c r="T119" t="str">
        <f>TEXT(tblTransactions[[#This Row],[Date]],"mmm")</f>
        <v>May</v>
      </c>
      <c r="U119" t="str">
        <f>"Q"&amp;ROUNDUP(MONTH(tblTransactions[[#This Row],[Date]])/3,0)</f>
        <v>Q2</v>
      </c>
      <c r="V119">
        <f>MONTH(tblTransactions[[#This Row],[Date]])</f>
        <v>5</v>
      </c>
    </row>
    <row r="120" spans="1:22" x14ac:dyDescent="0.4">
      <c r="A120" t="s">
        <v>194</v>
      </c>
      <c r="B120" s="2">
        <v>46158</v>
      </c>
      <c r="C120">
        <v>2026</v>
      </c>
      <c r="D120" t="s">
        <v>68</v>
      </c>
      <c r="E120" t="s">
        <v>36</v>
      </c>
      <c r="F120" t="s">
        <v>25</v>
      </c>
      <c r="G120" t="s">
        <v>98</v>
      </c>
      <c r="H120" t="s">
        <v>99</v>
      </c>
      <c r="I120" t="s">
        <v>28</v>
      </c>
      <c r="J120" t="s">
        <v>49</v>
      </c>
      <c r="K120" t="s">
        <v>99</v>
      </c>
      <c r="L120" s="3">
        <v>10160</v>
      </c>
      <c r="M120" s="3">
        <v>11283</v>
      </c>
      <c r="N120" t="s">
        <v>60</v>
      </c>
      <c r="O120" t="s">
        <v>55</v>
      </c>
      <c r="P120" t="s">
        <v>32</v>
      </c>
      <c r="Q120" t="s">
        <v>33</v>
      </c>
      <c r="R120" t="s">
        <v>34</v>
      </c>
      <c r="S120" s="3">
        <v>81868</v>
      </c>
      <c r="T120" t="str">
        <f>TEXT(tblTransactions[[#This Row],[Date]],"mmm")</f>
        <v>May</v>
      </c>
      <c r="U120" t="str">
        <f>"Q"&amp;ROUNDUP(MONTH(tblTransactions[[#This Row],[Date]])/3,0)</f>
        <v>Q2</v>
      </c>
      <c r="V120">
        <f>MONTH(tblTransactions[[#This Row],[Date]])</f>
        <v>5</v>
      </c>
    </row>
    <row r="121" spans="1:22" x14ac:dyDescent="0.4">
      <c r="A121" t="s">
        <v>195</v>
      </c>
      <c r="B121" s="2">
        <v>46159</v>
      </c>
      <c r="C121">
        <v>2026</v>
      </c>
      <c r="D121" t="s">
        <v>44</v>
      </c>
      <c r="E121" t="s">
        <v>24</v>
      </c>
      <c r="F121" t="s">
        <v>25</v>
      </c>
      <c r="G121" t="s">
        <v>46</v>
      </c>
      <c r="H121" t="s">
        <v>47</v>
      </c>
      <c r="I121" t="s">
        <v>39</v>
      </c>
      <c r="J121" t="s">
        <v>111</v>
      </c>
      <c r="K121" t="s">
        <v>47</v>
      </c>
      <c r="L121" s="3">
        <v>9294</v>
      </c>
      <c r="M121" s="3">
        <v>11136</v>
      </c>
      <c r="N121" t="s">
        <v>30</v>
      </c>
      <c r="O121" t="s">
        <v>31</v>
      </c>
      <c r="P121" t="s">
        <v>32</v>
      </c>
      <c r="Q121" t="s">
        <v>33</v>
      </c>
      <c r="R121" t="s">
        <v>34</v>
      </c>
      <c r="S121" s="3">
        <v>72574</v>
      </c>
      <c r="T121" t="str">
        <f>TEXT(tblTransactions[[#This Row],[Date]],"mmm")</f>
        <v>May</v>
      </c>
      <c r="U121" t="str">
        <f>"Q"&amp;ROUNDUP(MONTH(tblTransactions[[#This Row],[Date]])/3,0)</f>
        <v>Q2</v>
      </c>
      <c r="V121">
        <f>MONTH(tblTransactions[[#This Row],[Date]])</f>
        <v>5</v>
      </c>
    </row>
    <row r="122" spans="1:22" x14ac:dyDescent="0.4">
      <c r="A122" t="s">
        <v>196</v>
      </c>
      <c r="B122" s="2">
        <v>46160</v>
      </c>
      <c r="C122">
        <v>2026</v>
      </c>
      <c r="D122" t="s">
        <v>44</v>
      </c>
      <c r="E122" t="s">
        <v>24</v>
      </c>
      <c r="F122" t="s">
        <v>25</v>
      </c>
      <c r="G122" t="s">
        <v>46</v>
      </c>
      <c r="H122" t="s">
        <v>47</v>
      </c>
      <c r="I122" t="s">
        <v>28</v>
      </c>
      <c r="J122" t="s">
        <v>29</v>
      </c>
      <c r="K122" t="s">
        <v>47</v>
      </c>
      <c r="L122" s="3">
        <v>12021</v>
      </c>
      <c r="M122" s="3">
        <v>18827</v>
      </c>
      <c r="N122" t="s">
        <v>60</v>
      </c>
      <c r="O122" t="s">
        <v>55</v>
      </c>
      <c r="P122" t="s">
        <v>32</v>
      </c>
      <c r="Q122" t="s">
        <v>34</v>
      </c>
      <c r="R122" t="s">
        <v>34</v>
      </c>
      <c r="S122" s="3">
        <v>60553</v>
      </c>
      <c r="T122" t="str">
        <f>TEXT(tblTransactions[[#This Row],[Date]],"mmm")</f>
        <v>May</v>
      </c>
      <c r="U122" t="str">
        <f>"Q"&amp;ROUNDUP(MONTH(tblTransactions[[#This Row],[Date]])/3,0)</f>
        <v>Q2</v>
      </c>
      <c r="V122">
        <f>MONTH(tblTransactions[[#This Row],[Date]])</f>
        <v>5</v>
      </c>
    </row>
    <row r="123" spans="1:22" x14ac:dyDescent="0.4">
      <c r="A123" t="s">
        <v>197</v>
      </c>
      <c r="B123" s="2">
        <v>46161</v>
      </c>
      <c r="C123">
        <v>2026</v>
      </c>
      <c r="D123" t="s">
        <v>23</v>
      </c>
      <c r="E123" t="s">
        <v>45</v>
      </c>
      <c r="F123" t="s">
        <v>25</v>
      </c>
      <c r="G123" t="s">
        <v>70</v>
      </c>
      <c r="H123" t="s">
        <v>71</v>
      </c>
      <c r="I123" t="s">
        <v>53</v>
      </c>
      <c r="J123" t="s">
        <v>29</v>
      </c>
      <c r="K123" t="s">
        <v>71</v>
      </c>
      <c r="L123" s="3">
        <v>18677</v>
      </c>
      <c r="M123" s="3">
        <v>14988</v>
      </c>
      <c r="N123" t="s">
        <v>30</v>
      </c>
      <c r="O123" t="s">
        <v>31</v>
      </c>
      <c r="P123" t="s">
        <v>32</v>
      </c>
      <c r="Q123" t="s">
        <v>33</v>
      </c>
      <c r="R123" t="s">
        <v>34</v>
      </c>
      <c r="S123" s="3">
        <v>41876</v>
      </c>
      <c r="T123" t="str">
        <f>TEXT(tblTransactions[[#This Row],[Date]],"mmm")</f>
        <v>May</v>
      </c>
      <c r="U123" t="str">
        <f>"Q"&amp;ROUNDUP(MONTH(tblTransactions[[#This Row],[Date]])/3,0)</f>
        <v>Q2</v>
      </c>
      <c r="V123">
        <f>MONTH(tblTransactions[[#This Row],[Date]])</f>
        <v>5</v>
      </c>
    </row>
    <row r="124" spans="1:22" x14ac:dyDescent="0.4">
      <c r="A124" t="s">
        <v>198</v>
      </c>
      <c r="B124" s="2">
        <v>46163</v>
      </c>
      <c r="C124">
        <v>2026</v>
      </c>
      <c r="D124" t="s">
        <v>23</v>
      </c>
      <c r="E124" t="s">
        <v>36</v>
      </c>
      <c r="F124" t="s">
        <v>25</v>
      </c>
      <c r="G124" t="s">
        <v>104</v>
      </c>
      <c r="H124" t="s">
        <v>105</v>
      </c>
      <c r="I124" t="s">
        <v>39</v>
      </c>
      <c r="J124" t="s">
        <v>59</v>
      </c>
      <c r="K124" t="s">
        <v>105</v>
      </c>
      <c r="L124" s="3">
        <v>3955</v>
      </c>
      <c r="M124" s="3">
        <v>2436</v>
      </c>
      <c r="N124" t="s">
        <v>30</v>
      </c>
      <c r="O124" t="s">
        <v>50</v>
      </c>
      <c r="P124" t="s">
        <v>32</v>
      </c>
      <c r="Q124" t="s">
        <v>34</v>
      </c>
      <c r="R124" t="s">
        <v>34</v>
      </c>
      <c r="S124" s="3">
        <v>37921</v>
      </c>
      <c r="T124" t="str">
        <f>TEXT(tblTransactions[[#This Row],[Date]],"mmm")</f>
        <v>May</v>
      </c>
      <c r="U124" t="str">
        <f>"Q"&amp;ROUNDUP(MONTH(tblTransactions[[#This Row],[Date]])/3,0)</f>
        <v>Q2</v>
      </c>
      <c r="V124">
        <f>MONTH(tblTransactions[[#This Row],[Date]])</f>
        <v>5</v>
      </c>
    </row>
    <row r="125" spans="1:22" x14ac:dyDescent="0.4">
      <c r="A125" t="s">
        <v>199</v>
      </c>
      <c r="B125" s="2">
        <v>46164</v>
      </c>
      <c r="C125">
        <v>2026</v>
      </c>
      <c r="D125" t="s">
        <v>44</v>
      </c>
      <c r="E125" t="s">
        <v>45</v>
      </c>
      <c r="F125" t="s">
        <v>25</v>
      </c>
      <c r="G125" t="s">
        <v>70</v>
      </c>
      <c r="H125" t="s">
        <v>71</v>
      </c>
      <c r="I125" t="s">
        <v>48</v>
      </c>
      <c r="J125" t="s">
        <v>74</v>
      </c>
      <c r="K125" t="s">
        <v>71</v>
      </c>
      <c r="L125" s="3">
        <v>7295</v>
      </c>
      <c r="M125" s="3">
        <v>14785</v>
      </c>
      <c r="N125" t="s">
        <v>60</v>
      </c>
      <c r="O125" t="s">
        <v>31</v>
      </c>
      <c r="P125" t="s">
        <v>32</v>
      </c>
      <c r="Q125" t="s">
        <v>34</v>
      </c>
      <c r="R125" t="s">
        <v>34</v>
      </c>
      <c r="S125" s="3">
        <v>30626</v>
      </c>
      <c r="T125" t="str">
        <f>TEXT(tblTransactions[[#This Row],[Date]],"mmm")</f>
        <v>May</v>
      </c>
      <c r="U125" t="str">
        <f>"Q"&amp;ROUNDUP(MONTH(tblTransactions[[#This Row],[Date]])/3,0)</f>
        <v>Q2</v>
      </c>
      <c r="V125">
        <f>MONTH(tblTransactions[[#This Row],[Date]])</f>
        <v>5</v>
      </c>
    </row>
    <row r="126" spans="1:22" x14ac:dyDescent="0.4">
      <c r="A126" t="s">
        <v>200</v>
      </c>
      <c r="B126" s="2">
        <v>46165</v>
      </c>
      <c r="C126">
        <v>2026</v>
      </c>
      <c r="D126" t="s">
        <v>23</v>
      </c>
      <c r="E126" t="s">
        <v>86</v>
      </c>
      <c r="F126" t="s">
        <v>25</v>
      </c>
      <c r="G126" t="s">
        <v>26</v>
      </c>
      <c r="H126" t="s">
        <v>27</v>
      </c>
      <c r="I126" t="s">
        <v>48</v>
      </c>
      <c r="J126" t="s">
        <v>90</v>
      </c>
      <c r="K126" t="s">
        <v>27</v>
      </c>
      <c r="L126" s="3">
        <v>17726</v>
      </c>
      <c r="M126" s="3">
        <v>8857</v>
      </c>
      <c r="N126" t="s">
        <v>54</v>
      </c>
      <c r="O126" t="s">
        <v>31</v>
      </c>
      <c r="P126" t="s">
        <v>32</v>
      </c>
      <c r="Q126" t="s">
        <v>34</v>
      </c>
      <c r="R126" t="s">
        <v>34</v>
      </c>
      <c r="S126" s="3">
        <v>12900</v>
      </c>
      <c r="T126" t="str">
        <f>TEXT(tblTransactions[[#This Row],[Date]],"mmm")</f>
        <v>May</v>
      </c>
      <c r="U126" t="str">
        <f>"Q"&amp;ROUNDUP(MONTH(tblTransactions[[#This Row],[Date]])/3,0)</f>
        <v>Q2</v>
      </c>
      <c r="V126">
        <f>MONTH(tblTransactions[[#This Row],[Date]])</f>
        <v>5</v>
      </c>
    </row>
    <row r="127" spans="1:22" x14ac:dyDescent="0.4">
      <c r="A127" t="s">
        <v>201</v>
      </c>
      <c r="B127" s="2">
        <v>46166</v>
      </c>
      <c r="C127">
        <v>2026</v>
      </c>
      <c r="D127" t="s">
        <v>44</v>
      </c>
      <c r="E127" t="s">
        <v>24</v>
      </c>
      <c r="F127" t="s">
        <v>37</v>
      </c>
      <c r="G127" t="s">
        <v>38</v>
      </c>
      <c r="H127" t="s">
        <v>38</v>
      </c>
      <c r="I127" t="s">
        <v>28</v>
      </c>
      <c r="J127" t="s">
        <v>90</v>
      </c>
      <c r="K127" t="s">
        <v>38</v>
      </c>
      <c r="L127" s="3">
        <v>54481</v>
      </c>
      <c r="M127" s="3">
        <v>0</v>
      </c>
      <c r="N127" t="s">
        <v>60</v>
      </c>
      <c r="O127" t="s">
        <v>50</v>
      </c>
      <c r="P127" t="s">
        <v>32</v>
      </c>
      <c r="Q127" t="s">
        <v>33</v>
      </c>
      <c r="R127" t="s">
        <v>34</v>
      </c>
      <c r="S127" s="3">
        <v>67381</v>
      </c>
      <c r="T127" t="str">
        <f>TEXT(tblTransactions[[#This Row],[Date]],"mmm")</f>
        <v>May</v>
      </c>
      <c r="U127" t="str">
        <f>"Q"&amp;ROUNDUP(MONTH(tblTransactions[[#This Row],[Date]])/3,0)</f>
        <v>Q2</v>
      </c>
      <c r="V127">
        <f>MONTH(tblTransactions[[#This Row],[Date]])</f>
        <v>5</v>
      </c>
    </row>
    <row r="128" spans="1:22" x14ac:dyDescent="0.4">
      <c r="A128" t="s">
        <v>202</v>
      </c>
      <c r="B128" s="2">
        <v>46167</v>
      </c>
      <c r="C128">
        <v>2026</v>
      </c>
      <c r="D128" t="s">
        <v>23</v>
      </c>
      <c r="E128" t="s">
        <v>36</v>
      </c>
      <c r="F128" t="s">
        <v>37</v>
      </c>
      <c r="G128" t="s">
        <v>38</v>
      </c>
      <c r="H128" t="s">
        <v>38</v>
      </c>
      <c r="I128" t="s">
        <v>39</v>
      </c>
      <c r="J128" t="s">
        <v>59</v>
      </c>
      <c r="K128" t="s">
        <v>38</v>
      </c>
      <c r="L128" s="3">
        <v>4643</v>
      </c>
      <c r="M128" s="3">
        <v>0</v>
      </c>
      <c r="N128" t="s">
        <v>41</v>
      </c>
      <c r="O128" t="s">
        <v>55</v>
      </c>
      <c r="P128" t="s">
        <v>32</v>
      </c>
      <c r="Q128" t="s">
        <v>34</v>
      </c>
      <c r="R128" t="s">
        <v>34</v>
      </c>
      <c r="S128" s="3">
        <v>72024</v>
      </c>
      <c r="T128" t="str">
        <f>TEXT(tblTransactions[[#This Row],[Date]],"mmm")</f>
        <v>May</v>
      </c>
      <c r="U128" t="str">
        <f>"Q"&amp;ROUNDUP(MONTH(tblTransactions[[#This Row],[Date]])/3,0)</f>
        <v>Q2</v>
      </c>
      <c r="V128">
        <f>MONTH(tblTransactions[[#This Row],[Date]])</f>
        <v>5</v>
      </c>
    </row>
    <row r="129" spans="1:22" x14ac:dyDescent="0.4">
      <c r="A129" t="s">
        <v>203</v>
      </c>
      <c r="B129" s="2">
        <v>46169</v>
      </c>
      <c r="C129">
        <v>2026</v>
      </c>
      <c r="D129" t="s">
        <v>23</v>
      </c>
      <c r="E129" t="s">
        <v>24</v>
      </c>
      <c r="F129" t="s">
        <v>25</v>
      </c>
      <c r="G129" t="s">
        <v>63</v>
      </c>
      <c r="H129" t="s">
        <v>64</v>
      </c>
      <c r="I129" t="s">
        <v>48</v>
      </c>
      <c r="J129" t="s">
        <v>49</v>
      </c>
      <c r="K129" t="s">
        <v>64</v>
      </c>
      <c r="L129" s="3">
        <v>12373</v>
      </c>
      <c r="M129" s="3">
        <v>7322</v>
      </c>
      <c r="N129" t="s">
        <v>30</v>
      </c>
      <c r="O129" t="s">
        <v>50</v>
      </c>
      <c r="P129" t="s">
        <v>32</v>
      </c>
      <c r="Q129" t="s">
        <v>34</v>
      </c>
      <c r="R129" t="s">
        <v>33</v>
      </c>
      <c r="S129" s="3">
        <v>59651</v>
      </c>
      <c r="T129" t="str">
        <f>TEXT(tblTransactions[[#This Row],[Date]],"mmm")</f>
        <v>May</v>
      </c>
      <c r="U129" t="str">
        <f>"Q"&amp;ROUNDUP(MONTH(tblTransactions[[#This Row],[Date]])/3,0)</f>
        <v>Q2</v>
      </c>
      <c r="V129">
        <f>MONTH(tblTransactions[[#This Row],[Date]])</f>
        <v>5</v>
      </c>
    </row>
    <row r="130" spans="1:22" x14ac:dyDescent="0.4">
      <c r="A130" t="s">
        <v>204</v>
      </c>
      <c r="B130" s="2">
        <v>46170</v>
      </c>
      <c r="C130">
        <v>2026</v>
      </c>
      <c r="D130" t="s">
        <v>68</v>
      </c>
      <c r="E130" t="s">
        <v>45</v>
      </c>
      <c r="F130" t="s">
        <v>25</v>
      </c>
      <c r="G130" t="s">
        <v>26</v>
      </c>
      <c r="H130" t="s">
        <v>27</v>
      </c>
      <c r="I130" t="s">
        <v>53</v>
      </c>
      <c r="J130" t="s">
        <v>49</v>
      </c>
      <c r="K130" t="s">
        <v>27</v>
      </c>
      <c r="L130" s="3">
        <v>19027</v>
      </c>
      <c r="M130" s="3">
        <v>7803</v>
      </c>
      <c r="N130" t="s">
        <v>30</v>
      </c>
      <c r="O130" t="s">
        <v>31</v>
      </c>
      <c r="P130" t="s">
        <v>32</v>
      </c>
      <c r="Q130" t="s">
        <v>34</v>
      </c>
      <c r="R130" t="s">
        <v>34</v>
      </c>
      <c r="S130" s="3">
        <v>40624</v>
      </c>
      <c r="T130" t="str">
        <f>TEXT(tblTransactions[[#This Row],[Date]],"mmm")</f>
        <v>May</v>
      </c>
      <c r="U130" t="str">
        <f>"Q"&amp;ROUNDUP(MONTH(tblTransactions[[#This Row],[Date]])/3,0)</f>
        <v>Q2</v>
      </c>
      <c r="V130">
        <f>MONTH(tblTransactions[[#This Row],[Date]])</f>
        <v>5</v>
      </c>
    </row>
    <row r="131" spans="1:22" x14ac:dyDescent="0.4">
      <c r="A131" t="s">
        <v>205</v>
      </c>
      <c r="B131" s="2">
        <v>46172</v>
      </c>
      <c r="C131">
        <v>2026</v>
      </c>
      <c r="D131" t="s">
        <v>68</v>
      </c>
      <c r="E131" t="s">
        <v>24</v>
      </c>
      <c r="F131" t="s">
        <v>25</v>
      </c>
      <c r="G131" t="s">
        <v>46</v>
      </c>
      <c r="H131" t="s">
        <v>47</v>
      </c>
      <c r="I131" t="s">
        <v>53</v>
      </c>
      <c r="J131" t="s">
        <v>40</v>
      </c>
      <c r="K131" t="s">
        <v>47</v>
      </c>
      <c r="L131" s="3">
        <v>7029</v>
      </c>
      <c r="M131" s="3">
        <v>16857</v>
      </c>
      <c r="N131" t="s">
        <v>60</v>
      </c>
      <c r="O131" t="s">
        <v>55</v>
      </c>
      <c r="P131" t="s">
        <v>32</v>
      </c>
      <c r="Q131" t="s">
        <v>34</v>
      </c>
      <c r="R131" t="s">
        <v>34</v>
      </c>
      <c r="S131" s="3">
        <v>33595</v>
      </c>
      <c r="T131" t="str">
        <f>TEXT(tblTransactions[[#This Row],[Date]],"mmm")</f>
        <v>May</v>
      </c>
      <c r="U131" t="str">
        <f>"Q"&amp;ROUNDUP(MONTH(tblTransactions[[#This Row],[Date]])/3,0)</f>
        <v>Q2</v>
      </c>
      <c r="V131">
        <f>MONTH(tblTransactions[[#This Row],[Date]])</f>
        <v>5</v>
      </c>
    </row>
    <row r="132" spans="1:22" x14ac:dyDescent="0.4">
      <c r="A132" t="s">
        <v>206</v>
      </c>
      <c r="B132" s="2">
        <v>46173</v>
      </c>
      <c r="C132">
        <v>2026</v>
      </c>
      <c r="D132" t="s">
        <v>68</v>
      </c>
      <c r="E132" t="s">
        <v>45</v>
      </c>
      <c r="F132" t="s">
        <v>25</v>
      </c>
      <c r="G132" t="s">
        <v>98</v>
      </c>
      <c r="H132" t="s">
        <v>99</v>
      </c>
      <c r="I132" t="s">
        <v>48</v>
      </c>
      <c r="J132" t="s">
        <v>40</v>
      </c>
      <c r="K132" t="s">
        <v>99</v>
      </c>
      <c r="L132" s="3">
        <v>9882</v>
      </c>
      <c r="M132" s="3">
        <v>16944</v>
      </c>
      <c r="N132" t="s">
        <v>60</v>
      </c>
      <c r="O132" t="s">
        <v>31</v>
      </c>
      <c r="P132" t="s">
        <v>32</v>
      </c>
      <c r="Q132" t="s">
        <v>34</v>
      </c>
      <c r="R132" t="s">
        <v>33</v>
      </c>
      <c r="S132" s="3">
        <v>23713</v>
      </c>
      <c r="T132" t="str">
        <f>TEXT(tblTransactions[[#This Row],[Date]],"mmm")</f>
        <v>May</v>
      </c>
      <c r="U132" t="str">
        <f>"Q"&amp;ROUNDUP(MONTH(tblTransactions[[#This Row],[Date]])/3,0)</f>
        <v>Q2</v>
      </c>
      <c r="V132">
        <f>MONTH(tblTransactions[[#This Row],[Date]])</f>
        <v>5</v>
      </c>
    </row>
    <row r="133" spans="1:22" x14ac:dyDescent="0.4">
      <c r="A133" t="s">
        <v>207</v>
      </c>
      <c r="B133" s="2">
        <v>46174</v>
      </c>
      <c r="C133">
        <v>2026</v>
      </c>
      <c r="D133" t="s">
        <v>23</v>
      </c>
      <c r="E133" t="s">
        <v>36</v>
      </c>
      <c r="F133" t="s">
        <v>25</v>
      </c>
      <c r="G133" t="s">
        <v>46</v>
      </c>
      <c r="H133" t="s">
        <v>47</v>
      </c>
      <c r="I133" t="s">
        <v>39</v>
      </c>
      <c r="J133" t="s">
        <v>74</v>
      </c>
      <c r="K133" t="s">
        <v>47</v>
      </c>
      <c r="L133" s="3">
        <v>6605</v>
      </c>
      <c r="M133" s="3">
        <v>3800</v>
      </c>
      <c r="N133" t="s">
        <v>54</v>
      </c>
      <c r="O133" t="s">
        <v>42</v>
      </c>
      <c r="P133" t="s">
        <v>32</v>
      </c>
      <c r="Q133" t="s">
        <v>34</v>
      </c>
      <c r="R133" t="s">
        <v>34</v>
      </c>
      <c r="S133" s="3">
        <v>17108</v>
      </c>
      <c r="T133" t="str">
        <f>TEXT(tblTransactions[[#This Row],[Date]],"mmm")</f>
        <v>Jun</v>
      </c>
      <c r="U133" t="str">
        <f>"Q"&amp;ROUNDUP(MONTH(tblTransactions[[#This Row],[Date]])/3,0)</f>
        <v>Q2</v>
      </c>
      <c r="V133">
        <f>MONTH(tblTransactions[[#This Row],[Date]])</f>
        <v>6</v>
      </c>
    </row>
    <row r="134" spans="1:22" x14ac:dyDescent="0.4">
      <c r="A134" t="s">
        <v>208</v>
      </c>
      <c r="B134" s="2">
        <v>46175</v>
      </c>
      <c r="C134">
        <v>2026</v>
      </c>
      <c r="D134" t="s">
        <v>68</v>
      </c>
      <c r="E134" t="s">
        <v>24</v>
      </c>
      <c r="F134" t="s">
        <v>25</v>
      </c>
      <c r="G134" t="s">
        <v>98</v>
      </c>
      <c r="H134" t="s">
        <v>99</v>
      </c>
      <c r="I134" t="s">
        <v>39</v>
      </c>
      <c r="J134" t="s">
        <v>90</v>
      </c>
      <c r="K134" t="s">
        <v>99</v>
      </c>
      <c r="L134" s="3">
        <v>11339</v>
      </c>
      <c r="M134" s="3">
        <v>16040</v>
      </c>
      <c r="N134" t="s">
        <v>54</v>
      </c>
      <c r="O134" t="s">
        <v>31</v>
      </c>
      <c r="P134" t="s">
        <v>32</v>
      </c>
      <c r="Q134" t="s">
        <v>34</v>
      </c>
      <c r="R134" t="s">
        <v>34</v>
      </c>
      <c r="S134" s="3">
        <v>5769</v>
      </c>
      <c r="T134" t="str">
        <f>TEXT(tblTransactions[[#This Row],[Date]],"mmm")</f>
        <v>Jun</v>
      </c>
      <c r="U134" t="str">
        <f>"Q"&amp;ROUNDUP(MONTH(tblTransactions[[#This Row],[Date]])/3,0)</f>
        <v>Q2</v>
      </c>
      <c r="V134">
        <f>MONTH(tblTransactions[[#This Row],[Date]])</f>
        <v>6</v>
      </c>
    </row>
    <row r="135" spans="1:22" x14ac:dyDescent="0.4">
      <c r="A135" t="s">
        <v>209</v>
      </c>
      <c r="B135" s="2">
        <v>46176</v>
      </c>
      <c r="C135">
        <v>2026</v>
      </c>
      <c r="D135" t="s">
        <v>44</v>
      </c>
      <c r="E135" t="s">
        <v>24</v>
      </c>
      <c r="F135" t="s">
        <v>25</v>
      </c>
      <c r="G135" t="s">
        <v>63</v>
      </c>
      <c r="H135" t="s">
        <v>64</v>
      </c>
      <c r="I135" t="s">
        <v>48</v>
      </c>
      <c r="J135" t="s">
        <v>111</v>
      </c>
      <c r="K135" t="s">
        <v>64</v>
      </c>
      <c r="L135" s="3">
        <v>6892</v>
      </c>
      <c r="M135" s="3">
        <v>15004</v>
      </c>
      <c r="N135" t="s">
        <v>30</v>
      </c>
      <c r="O135" t="s">
        <v>50</v>
      </c>
      <c r="P135" t="s">
        <v>32</v>
      </c>
      <c r="Q135" t="s">
        <v>34</v>
      </c>
      <c r="R135" t="s">
        <v>34</v>
      </c>
      <c r="S135" s="3">
        <v>-1123</v>
      </c>
      <c r="T135" t="str">
        <f>TEXT(tblTransactions[[#This Row],[Date]],"mmm")</f>
        <v>Jun</v>
      </c>
      <c r="U135" t="str">
        <f>"Q"&amp;ROUNDUP(MONTH(tblTransactions[[#This Row],[Date]])/3,0)</f>
        <v>Q2</v>
      </c>
      <c r="V135">
        <f>MONTH(tblTransactions[[#This Row],[Date]])</f>
        <v>6</v>
      </c>
    </row>
    <row r="136" spans="1:22" x14ac:dyDescent="0.4">
      <c r="A136" t="s">
        <v>210</v>
      </c>
      <c r="B136" s="2">
        <v>46178</v>
      </c>
      <c r="C136">
        <v>2026</v>
      </c>
      <c r="D136" t="s">
        <v>68</v>
      </c>
      <c r="E136" t="s">
        <v>36</v>
      </c>
      <c r="F136" t="s">
        <v>37</v>
      </c>
      <c r="G136" t="s">
        <v>38</v>
      </c>
      <c r="H136" t="s">
        <v>38</v>
      </c>
      <c r="I136" t="s">
        <v>58</v>
      </c>
      <c r="J136" t="s">
        <v>49</v>
      </c>
      <c r="K136" t="s">
        <v>38</v>
      </c>
      <c r="L136" s="3">
        <v>17232</v>
      </c>
      <c r="M136" s="3">
        <v>0</v>
      </c>
      <c r="N136" t="s">
        <v>60</v>
      </c>
      <c r="O136" t="s">
        <v>31</v>
      </c>
      <c r="P136" t="s">
        <v>32</v>
      </c>
      <c r="Q136" t="s">
        <v>33</v>
      </c>
      <c r="R136" t="s">
        <v>34</v>
      </c>
      <c r="S136" s="3">
        <v>16109</v>
      </c>
      <c r="T136" t="str">
        <f>TEXT(tblTransactions[[#This Row],[Date]],"mmm")</f>
        <v>Jun</v>
      </c>
      <c r="U136" t="str">
        <f>"Q"&amp;ROUNDUP(MONTH(tblTransactions[[#This Row],[Date]])/3,0)</f>
        <v>Q2</v>
      </c>
      <c r="V136">
        <f>MONTH(tblTransactions[[#This Row],[Date]])</f>
        <v>6</v>
      </c>
    </row>
    <row r="137" spans="1:22" x14ac:dyDescent="0.4">
      <c r="A137" t="s">
        <v>211</v>
      </c>
      <c r="B137" s="2">
        <v>46179</v>
      </c>
      <c r="C137">
        <v>2026</v>
      </c>
      <c r="D137" t="s">
        <v>44</v>
      </c>
      <c r="E137" t="s">
        <v>45</v>
      </c>
      <c r="F137" t="s">
        <v>25</v>
      </c>
      <c r="G137" t="s">
        <v>73</v>
      </c>
      <c r="H137" t="s">
        <v>74</v>
      </c>
      <c r="I137" t="s">
        <v>48</v>
      </c>
      <c r="J137" t="s">
        <v>90</v>
      </c>
      <c r="K137" t="s">
        <v>74</v>
      </c>
      <c r="L137" s="3">
        <v>7122</v>
      </c>
      <c r="M137" s="3">
        <v>4573</v>
      </c>
      <c r="N137" t="s">
        <v>54</v>
      </c>
      <c r="O137" t="s">
        <v>55</v>
      </c>
      <c r="P137" t="s">
        <v>32</v>
      </c>
      <c r="Q137" t="s">
        <v>34</v>
      </c>
      <c r="R137" t="s">
        <v>34</v>
      </c>
      <c r="S137" s="3">
        <v>8987</v>
      </c>
      <c r="T137" t="str">
        <f>TEXT(tblTransactions[[#This Row],[Date]],"mmm")</f>
        <v>Jun</v>
      </c>
      <c r="U137" t="str">
        <f>"Q"&amp;ROUNDUP(MONTH(tblTransactions[[#This Row],[Date]])/3,0)</f>
        <v>Q2</v>
      </c>
      <c r="V137">
        <f>MONTH(tblTransactions[[#This Row],[Date]])</f>
        <v>6</v>
      </c>
    </row>
    <row r="138" spans="1:22" x14ac:dyDescent="0.4">
      <c r="A138" t="s">
        <v>212</v>
      </c>
      <c r="B138" s="2">
        <v>46180</v>
      </c>
      <c r="C138">
        <v>2026</v>
      </c>
      <c r="D138" t="s">
        <v>44</v>
      </c>
      <c r="E138" t="s">
        <v>24</v>
      </c>
      <c r="F138" t="s">
        <v>37</v>
      </c>
      <c r="G138" t="s">
        <v>38</v>
      </c>
      <c r="H138" t="s">
        <v>38</v>
      </c>
      <c r="I138" t="s">
        <v>53</v>
      </c>
      <c r="J138" t="s">
        <v>40</v>
      </c>
      <c r="K138" t="s">
        <v>38</v>
      </c>
      <c r="L138" s="3">
        <v>21348</v>
      </c>
      <c r="M138" s="3">
        <v>0</v>
      </c>
      <c r="N138" t="s">
        <v>30</v>
      </c>
      <c r="O138" t="s">
        <v>42</v>
      </c>
      <c r="P138" t="s">
        <v>32</v>
      </c>
      <c r="Q138" t="s">
        <v>33</v>
      </c>
      <c r="R138" t="s">
        <v>34</v>
      </c>
      <c r="S138" s="3">
        <v>30335</v>
      </c>
      <c r="T138" t="str">
        <f>TEXT(tblTransactions[[#This Row],[Date]],"mmm")</f>
        <v>Jun</v>
      </c>
      <c r="U138" t="str">
        <f>"Q"&amp;ROUNDUP(MONTH(tblTransactions[[#This Row],[Date]])/3,0)</f>
        <v>Q2</v>
      </c>
      <c r="V138">
        <f>MONTH(tblTransactions[[#This Row],[Date]])</f>
        <v>6</v>
      </c>
    </row>
    <row r="139" spans="1:22" x14ac:dyDescent="0.4">
      <c r="A139" t="s">
        <v>213</v>
      </c>
      <c r="B139" s="2">
        <v>46182</v>
      </c>
      <c r="C139">
        <v>2026</v>
      </c>
      <c r="D139" t="s">
        <v>23</v>
      </c>
      <c r="E139" t="s">
        <v>36</v>
      </c>
      <c r="F139" t="s">
        <v>25</v>
      </c>
      <c r="G139" t="s">
        <v>57</v>
      </c>
      <c r="H139" t="s">
        <v>40</v>
      </c>
      <c r="I139" t="s">
        <v>48</v>
      </c>
      <c r="J139" t="s">
        <v>49</v>
      </c>
      <c r="K139" t="s">
        <v>40</v>
      </c>
      <c r="L139" s="3">
        <v>3966</v>
      </c>
      <c r="M139" s="3">
        <v>17290</v>
      </c>
      <c r="N139" t="s">
        <v>30</v>
      </c>
      <c r="O139" t="s">
        <v>42</v>
      </c>
      <c r="P139" t="s">
        <v>32</v>
      </c>
      <c r="Q139" t="s">
        <v>34</v>
      </c>
      <c r="R139" t="s">
        <v>34</v>
      </c>
      <c r="S139" s="3">
        <v>26369</v>
      </c>
      <c r="T139" t="str">
        <f>TEXT(tblTransactions[[#This Row],[Date]],"mmm")</f>
        <v>Jun</v>
      </c>
      <c r="U139" t="str">
        <f>"Q"&amp;ROUNDUP(MONTH(tblTransactions[[#This Row],[Date]])/3,0)</f>
        <v>Q2</v>
      </c>
      <c r="V139">
        <f>MONTH(tblTransactions[[#This Row],[Date]])</f>
        <v>6</v>
      </c>
    </row>
    <row r="140" spans="1:22" x14ac:dyDescent="0.4">
      <c r="A140" t="s">
        <v>214</v>
      </c>
      <c r="B140" s="2">
        <v>46183</v>
      </c>
      <c r="C140">
        <v>2026</v>
      </c>
      <c r="D140" t="s">
        <v>23</v>
      </c>
      <c r="E140" t="s">
        <v>24</v>
      </c>
      <c r="F140" t="s">
        <v>37</v>
      </c>
      <c r="G140" t="s">
        <v>52</v>
      </c>
      <c r="H140" t="s">
        <v>52</v>
      </c>
      <c r="I140" t="s">
        <v>39</v>
      </c>
      <c r="J140" t="s">
        <v>90</v>
      </c>
      <c r="K140" t="s">
        <v>52</v>
      </c>
      <c r="L140" s="3">
        <v>48267</v>
      </c>
      <c r="M140" s="3">
        <v>0</v>
      </c>
      <c r="N140" t="s">
        <v>60</v>
      </c>
      <c r="O140" t="s">
        <v>55</v>
      </c>
      <c r="P140" t="s">
        <v>32</v>
      </c>
      <c r="Q140" t="s">
        <v>34</v>
      </c>
      <c r="R140" t="s">
        <v>34</v>
      </c>
      <c r="S140" s="3">
        <v>74636</v>
      </c>
      <c r="T140" t="str">
        <f>TEXT(tblTransactions[[#This Row],[Date]],"mmm")</f>
        <v>Jun</v>
      </c>
      <c r="U140" t="str">
        <f>"Q"&amp;ROUNDUP(MONTH(tblTransactions[[#This Row],[Date]])/3,0)</f>
        <v>Q2</v>
      </c>
      <c r="V140">
        <f>MONTH(tblTransactions[[#This Row],[Date]])</f>
        <v>6</v>
      </c>
    </row>
    <row r="141" spans="1:22" x14ac:dyDescent="0.4">
      <c r="A141" t="s">
        <v>215</v>
      </c>
      <c r="B141" s="2">
        <v>46184</v>
      </c>
      <c r="C141">
        <v>2026</v>
      </c>
      <c r="D141" t="s">
        <v>44</v>
      </c>
      <c r="E141" t="s">
        <v>36</v>
      </c>
      <c r="F141" t="s">
        <v>25</v>
      </c>
      <c r="G141" t="s">
        <v>57</v>
      </c>
      <c r="H141" t="s">
        <v>40</v>
      </c>
      <c r="I141" t="s">
        <v>28</v>
      </c>
      <c r="J141" t="s">
        <v>90</v>
      </c>
      <c r="K141" t="s">
        <v>40</v>
      </c>
      <c r="L141" s="3">
        <v>8572</v>
      </c>
      <c r="M141" s="3">
        <v>12868</v>
      </c>
      <c r="N141" t="s">
        <v>54</v>
      </c>
      <c r="O141" t="s">
        <v>42</v>
      </c>
      <c r="P141" t="s">
        <v>32</v>
      </c>
      <c r="Q141" t="s">
        <v>34</v>
      </c>
      <c r="R141" t="s">
        <v>34</v>
      </c>
      <c r="S141" s="3">
        <v>66064</v>
      </c>
      <c r="T141" t="str">
        <f>TEXT(tblTransactions[[#This Row],[Date]],"mmm")</f>
        <v>Jun</v>
      </c>
      <c r="U141" t="str">
        <f>"Q"&amp;ROUNDUP(MONTH(tblTransactions[[#This Row],[Date]])/3,0)</f>
        <v>Q2</v>
      </c>
      <c r="V141">
        <f>MONTH(tblTransactions[[#This Row],[Date]])</f>
        <v>6</v>
      </c>
    </row>
    <row r="142" spans="1:22" x14ac:dyDescent="0.4">
      <c r="A142" t="s">
        <v>216</v>
      </c>
      <c r="B142" s="2">
        <v>46185</v>
      </c>
      <c r="C142">
        <v>2026</v>
      </c>
      <c r="D142" t="s">
        <v>68</v>
      </c>
      <c r="E142" t="s">
        <v>45</v>
      </c>
      <c r="F142" t="s">
        <v>37</v>
      </c>
      <c r="G142" t="s">
        <v>93</v>
      </c>
      <c r="H142" t="s">
        <v>94</v>
      </c>
      <c r="I142" t="s">
        <v>28</v>
      </c>
      <c r="J142" t="s">
        <v>49</v>
      </c>
      <c r="K142" t="s">
        <v>94</v>
      </c>
      <c r="L142" s="3">
        <v>2479</v>
      </c>
      <c r="M142" s="3">
        <v>0</v>
      </c>
      <c r="N142" t="s">
        <v>54</v>
      </c>
      <c r="O142" t="s">
        <v>50</v>
      </c>
      <c r="P142" t="s">
        <v>32</v>
      </c>
      <c r="Q142" t="s">
        <v>33</v>
      </c>
      <c r="R142" t="s">
        <v>33</v>
      </c>
      <c r="S142" s="3">
        <v>68543</v>
      </c>
      <c r="T142" t="str">
        <f>TEXT(tblTransactions[[#This Row],[Date]],"mmm")</f>
        <v>Jun</v>
      </c>
      <c r="U142" t="str">
        <f>"Q"&amp;ROUNDUP(MONTH(tblTransactions[[#This Row],[Date]])/3,0)</f>
        <v>Q2</v>
      </c>
      <c r="V142">
        <f>MONTH(tblTransactions[[#This Row],[Date]])</f>
        <v>6</v>
      </c>
    </row>
    <row r="143" spans="1:22" x14ac:dyDescent="0.4">
      <c r="A143" t="s">
        <v>217</v>
      </c>
      <c r="B143" s="2">
        <v>46186</v>
      </c>
      <c r="C143">
        <v>2026</v>
      </c>
      <c r="D143" t="s">
        <v>23</v>
      </c>
      <c r="E143" t="s">
        <v>86</v>
      </c>
      <c r="F143" t="s">
        <v>25</v>
      </c>
      <c r="G143" t="s">
        <v>46</v>
      </c>
      <c r="H143" t="s">
        <v>47</v>
      </c>
      <c r="I143" t="s">
        <v>48</v>
      </c>
      <c r="J143" t="s">
        <v>111</v>
      </c>
      <c r="K143" t="s">
        <v>47</v>
      </c>
      <c r="L143" s="3">
        <v>14629</v>
      </c>
      <c r="M143" s="3">
        <v>11105</v>
      </c>
      <c r="N143" t="s">
        <v>30</v>
      </c>
      <c r="O143" t="s">
        <v>55</v>
      </c>
      <c r="P143" t="s">
        <v>32</v>
      </c>
      <c r="Q143" t="s">
        <v>34</v>
      </c>
      <c r="R143" t="s">
        <v>34</v>
      </c>
      <c r="S143" s="3">
        <v>53914</v>
      </c>
      <c r="T143" t="str">
        <f>TEXT(tblTransactions[[#This Row],[Date]],"mmm")</f>
        <v>Jun</v>
      </c>
      <c r="U143" t="str">
        <f>"Q"&amp;ROUNDUP(MONTH(tblTransactions[[#This Row],[Date]])/3,0)</f>
        <v>Q2</v>
      </c>
      <c r="V143">
        <f>MONTH(tblTransactions[[#This Row],[Date]])</f>
        <v>6</v>
      </c>
    </row>
    <row r="144" spans="1:22" x14ac:dyDescent="0.4">
      <c r="A144" t="s">
        <v>218</v>
      </c>
      <c r="B144" s="2">
        <v>46187</v>
      </c>
      <c r="C144">
        <v>2026</v>
      </c>
      <c r="D144" t="s">
        <v>23</v>
      </c>
      <c r="E144" t="s">
        <v>24</v>
      </c>
      <c r="F144" t="s">
        <v>25</v>
      </c>
      <c r="G144" t="s">
        <v>70</v>
      </c>
      <c r="H144" t="s">
        <v>71</v>
      </c>
      <c r="I144" t="s">
        <v>44</v>
      </c>
      <c r="J144" t="s">
        <v>111</v>
      </c>
      <c r="K144" t="s">
        <v>71</v>
      </c>
      <c r="L144" s="3">
        <v>8777</v>
      </c>
      <c r="M144" s="3">
        <v>9859</v>
      </c>
      <c r="N144" t="s">
        <v>41</v>
      </c>
      <c r="O144" t="s">
        <v>31</v>
      </c>
      <c r="P144" t="s">
        <v>32</v>
      </c>
      <c r="Q144" t="s">
        <v>33</v>
      </c>
      <c r="R144" t="s">
        <v>34</v>
      </c>
      <c r="S144" s="3">
        <v>45137</v>
      </c>
      <c r="T144" t="str">
        <f>TEXT(tblTransactions[[#This Row],[Date]],"mmm")</f>
        <v>Jun</v>
      </c>
      <c r="U144" t="str">
        <f>"Q"&amp;ROUNDUP(MONTH(tblTransactions[[#This Row],[Date]])/3,0)</f>
        <v>Q2</v>
      </c>
      <c r="V144">
        <f>MONTH(tblTransactions[[#This Row],[Date]])</f>
        <v>6</v>
      </c>
    </row>
    <row r="145" spans="1:22" x14ac:dyDescent="0.4">
      <c r="A145" t="s">
        <v>219</v>
      </c>
      <c r="B145" s="2">
        <v>46188</v>
      </c>
      <c r="C145">
        <v>2026</v>
      </c>
      <c r="D145" t="s">
        <v>68</v>
      </c>
      <c r="E145" t="s">
        <v>45</v>
      </c>
      <c r="F145" t="s">
        <v>37</v>
      </c>
      <c r="G145" t="s">
        <v>93</v>
      </c>
      <c r="H145" t="s">
        <v>94</v>
      </c>
      <c r="I145" t="s">
        <v>28</v>
      </c>
      <c r="J145" t="s">
        <v>84</v>
      </c>
      <c r="K145" t="s">
        <v>94</v>
      </c>
      <c r="L145" s="3">
        <v>8174</v>
      </c>
      <c r="M145" s="3">
        <v>0</v>
      </c>
      <c r="N145" t="s">
        <v>60</v>
      </c>
      <c r="O145" t="s">
        <v>31</v>
      </c>
      <c r="P145" t="s">
        <v>32</v>
      </c>
      <c r="Q145" t="s">
        <v>34</v>
      </c>
      <c r="R145" t="s">
        <v>34</v>
      </c>
      <c r="S145" s="3">
        <v>53311</v>
      </c>
      <c r="T145" t="str">
        <f>TEXT(tblTransactions[[#This Row],[Date]],"mmm")</f>
        <v>Jun</v>
      </c>
      <c r="U145" t="str">
        <f>"Q"&amp;ROUNDUP(MONTH(tblTransactions[[#This Row],[Date]])/3,0)</f>
        <v>Q2</v>
      </c>
      <c r="V145">
        <f>MONTH(tblTransactions[[#This Row],[Date]])</f>
        <v>6</v>
      </c>
    </row>
    <row r="146" spans="1:22" x14ac:dyDescent="0.4">
      <c r="A146" t="s">
        <v>220</v>
      </c>
      <c r="B146" s="2">
        <v>46189</v>
      </c>
      <c r="C146">
        <v>2026</v>
      </c>
      <c r="D146" t="s">
        <v>68</v>
      </c>
      <c r="E146" t="s">
        <v>24</v>
      </c>
      <c r="F146" t="s">
        <v>25</v>
      </c>
      <c r="G146" t="s">
        <v>46</v>
      </c>
      <c r="H146" t="s">
        <v>47</v>
      </c>
      <c r="I146" t="s">
        <v>28</v>
      </c>
      <c r="J146" t="s">
        <v>90</v>
      </c>
      <c r="K146" t="s">
        <v>47</v>
      </c>
      <c r="L146" s="3">
        <v>4548</v>
      </c>
      <c r="M146" s="3">
        <v>18362</v>
      </c>
      <c r="N146" t="s">
        <v>54</v>
      </c>
      <c r="O146" t="s">
        <v>55</v>
      </c>
      <c r="P146" t="s">
        <v>32</v>
      </c>
      <c r="Q146" t="s">
        <v>34</v>
      </c>
      <c r="R146" t="s">
        <v>33</v>
      </c>
      <c r="S146" s="3">
        <v>48763</v>
      </c>
      <c r="T146" t="str">
        <f>TEXT(tblTransactions[[#This Row],[Date]],"mmm")</f>
        <v>Jun</v>
      </c>
      <c r="U146" t="str">
        <f>"Q"&amp;ROUNDUP(MONTH(tblTransactions[[#This Row],[Date]])/3,0)</f>
        <v>Q2</v>
      </c>
      <c r="V146">
        <f>MONTH(tblTransactions[[#This Row],[Date]])</f>
        <v>6</v>
      </c>
    </row>
    <row r="147" spans="1:22" x14ac:dyDescent="0.4">
      <c r="A147" t="s">
        <v>221</v>
      </c>
      <c r="B147" s="2">
        <v>46190</v>
      </c>
      <c r="C147">
        <v>2026</v>
      </c>
      <c r="D147" t="s">
        <v>23</v>
      </c>
      <c r="E147" t="s">
        <v>36</v>
      </c>
      <c r="F147" t="s">
        <v>25</v>
      </c>
      <c r="G147" t="s">
        <v>104</v>
      </c>
      <c r="H147" t="s">
        <v>105</v>
      </c>
      <c r="I147" t="s">
        <v>58</v>
      </c>
      <c r="J147" t="s">
        <v>84</v>
      </c>
      <c r="K147" t="s">
        <v>105</v>
      </c>
      <c r="L147" s="3">
        <v>15099</v>
      </c>
      <c r="M147" s="3">
        <v>9173</v>
      </c>
      <c r="N147" t="s">
        <v>41</v>
      </c>
      <c r="O147" t="s">
        <v>55</v>
      </c>
      <c r="P147" t="s">
        <v>32</v>
      </c>
      <c r="Q147" t="s">
        <v>34</v>
      </c>
      <c r="R147" t="s">
        <v>33</v>
      </c>
      <c r="S147" s="3">
        <v>33664</v>
      </c>
      <c r="T147" t="str">
        <f>TEXT(tblTransactions[[#This Row],[Date]],"mmm")</f>
        <v>Jun</v>
      </c>
      <c r="U147" t="str">
        <f>"Q"&amp;ROUNDUP(MONTH(tblTransactions[[#This Row],[Date]])/3,0)</f>
        <v>Q2</v>
      </c>
      <c r="V147">
        <f>MONTH(tblTransactions[[#This Row],[Date]])</f>
        <v>6</v>
      </c>
    </row>
    <row r="148" spans="1:22" x14ac:dyDescent="0.4">
      <c r="A148" t="s">
        <v>222</v>
      </c>
      <c r="B148" s="2">
        <v>46192</v>
      </c>
      <c r="C148">
        <v>2026</v>
      </c>
      <c r="D148" t="s">
        <v>44</v>
      </c>
      <c r="E148" t="s">
        <v>24</v>
      </c>
      <c r="F148" t="s">
        <v>37</v>
      </c>
      <c r="G148" t="s">
        <v>52</v>
      </c>
      <c r="H148" t="s">
        <v>52</v>
      </c>
      <c r="I148" t="s">
        <v>44</v>
      </c>
      <c r="J148" t="s">
        <v>111</v>
      </c>
      <c r="K148" t="s">
        <v>52</v>
      </c>
      <c r="L148" s="3">
        <v>42783</v>
      </c>
      <c r="M148" s="3">
        <v>0</v>
      </c>
      <c r="N148" t="s">
        <v>41</v>
      </c>
      <c r="O148" t="s">
        <v>42</v>
      </c>
      <c r="P148" t="s">
        <v>32</v>
      </c>
      <c r="Q148" t="s">
        <v>34</v>
      </c>
      <c r="R148" t="s">
        <v>34</v>
      </c>
      <c r="S148" s="3">
        <v>76447</v>
      </c>
      <c r="T148" t="str">
        <f>TEXT(tblTransactions[[#This Row],[Date]],"mmm")</f>
        <v>Jun</v>
      </c>
      <c r="U148" t="str">
        <f>"Q"&amp;ROUNDUP(MONTH(tblTransactions[[#This Row],[Date]])/3,0)</f>
        <v>Q2</v>
      </c>
      <c r="V148">
        <f>MONTH(tblTransactions[[#This Row],[Date]])</f>
        <v>6</v>
      </c>
    </row>
    <row r="149" spans="1:22" x14ac:dyDescent="0.4">
      <c r="A149" t="s">
        <v>223</v>
      </c>
      <c r="B149" s="2">
        <v>46193</v>
      </c>
      <c r="C149">
        <v>2026</v>
      </c>
      <c r="D149" t="s">
        <v>23</v>
      </c>
      <c r="E149" t="s">
        <v>24</v>
      </c>
      <c r="F149" t="s">
        <v>25</v>
      </c>
      <c r="G149" t="s">
        <v>63</v>
      </c>
      <c r="H149" t="s">
        <v>64</v>
      </c>
      <c r="I149" t="s">
        <v>48</v>
      </c>
      <c r="J149" t="s">
        <v>74</v>
      </c>
      <c r="K149" t="s">
        <v>64</v>
      </c>
      <c r="L149" s="3">
        <v>12528</v>
      </c>
      <c r="M149" s="3">
        <v>16136</v>
      </c>
      <c r="N149" t="s">
        <v>54</v>
      </c>
      <c r="O149" t="s">
        <v>31</v>
      </c>
      <c r="P149" t="s">
        <v>32</v>
      </c>
      <c r="Q149" t="s">
        <v>34</v>
      </c>
      <c r="R149" t="s">
        <v>34</v>
      </c>
      <c r="S149" s="3">
        <v>63919</v>
      </c>
      <c r="T149" t="str">
        <f>TEXT(tblTransactions[[#This Row],[Date]],"mmm")</f>
        <v>Jun</v>
      </c>
      <c r="U149" t="str">
        <f>"Q"&amp;ROUNDUP(MONTH(tblTransactions[[#This Row],[Date]])/3,0)</f>
        <v>Q2</v>
      </c>
      <c r="V149">
        <f>MONTH(tblTransactions[[#This Row],[Date]])</f>
        <v>6</v>
      </c>
    </row>
    <row r="150" spans="1:22" x14ac:dyDescent="0.4">
      <c r="A150" t="s">
        <v>224</v>
      </c>
      <c r="B150" s="2">
        <v>46194</v>
      </c>
      <c r="C150">
        <v>2026</v>
      </c>
      <c r="D150" t="s">
        <v>23</v>
      </c>
      <c r="E150" t="s">
        <v>36</v>
      </c>
      <c r="F150" t="s">
        <v>37</v>
      </c>
      <c r="G150" t="s">
        <v>38</v>
      </c>
      <c r="H150" t="s">
        <v>38</v>
      </c>
      <c r="I150" t="s">
        <v>58</v>
      </c>
      <c r="J150" t="s">
        <v>90</v>
      </c>
      <c r="K150" t="s">
        <v>38</v>
      </c>
      <c r="L150" s="3">
        <v>63015</v>
      </c>
      <c r="M150" s="3">
        <v>0</v>
      </c>
      <c r="N150" t="s">
        <v>54</v>
      </c>
      <c r="O150" t="s">
        <v>42</v>
      </c>
      <c r="P150" t="s">
        <v>32</v>
      </c>
      <c r="Q150" t="s">
        <v>34</v>
      </c>
      <c r="R150" t="s">
        <v>34</v>
      </c>
      <c r="S150" s="3">
        <v>126934</v>
      </c>
      <c r="T150" t="str">
        <f>TEXT(tblTransactions[[#This Row],[Date]],"mmm")</f>
        <v>Jun</v>
      </c>
      <c r="U150" t="str">
        <f>"Q"&amp;ROUNDUP(MONTH(tblTransactions[[#This Row],[Date]])/3,0)</f>
        <v>Q2</v>
      </c>
      <c r="V150">
        <f>MONTH(tblTransactions[[#This Row],[Date]])</f>
        <v>6</v>
      </c>
    </row>
    <row r="151" spans="1:22" x14ac:dyDescent="0.4">
      <c r="A151" t="s">
        <v>225</v>
      </c>
      <c r="B151" s="2">
        <v>46197</v>
      </c>
      <c r="C151">
        <v>2026</v>
      </c>
      <c r="D151" t="s">
        <v>44</v>
      </c>
      <c r="E151" t="s">
        <v>86</v>
      </c>
      <c r="F151" t="s">
        <v>25</v>
      </c>
      <c r="G151" t="s">
        <v>73</v>
      </c>
      <c r="H151" t="s">
        <v>74</v>
      </c>
      <c r="I151" t="s">
        <v>44</v>
      </c>
      <c r="J151" t="s">
        <v>49</v>
      </c>
      <c r="K151" t="s">
        <v>74</v>
      </c>
      <c r="L151" s="3">
        <v>19516</v>
      </c>
      <c r="M151" s="3">
        <v>7339</v>
      </c>
      <c r="N151" t="s">
        <v>60</v>
      </c>
      <c r="O151" t="s">
        <v>50</v>
      </c>
      <c r="P151" t="s">
        <v>32</v>
      </c>
      <c r="Q151" t="s">
        <v>33</v>
      </c>
      <c r="R151" t="s">
        <v>33</v>
      </c>
      <c r="S151" s="3">
        <v>107418</v>
      </c>
      <c r="T151" t="str">
        <f>TEXT(tblTransactions[[#This Row],[Date]],"mmm")</f>
        <v>Jun</v>
      </c>
      <c r="U151" t="str">
        <f>"Q"&amp;ROUNDUP(MONTH(tblTransactions[[#This Row],[Date]])/3,0)</f>
        <v>Q2</v>
      </c>
      <c r="V151">
        <f>MONTH(tblTransactions[[#This Row],[Date]])</f>
        <v>6</v>
      </c>
    </row>
    <row r="152" spans="1:22" x14ac:dyDescent="0.4">
      <c r="A152" t="s">
        <v>226</v>
      </c>
      <c r="B152" s="2">
        <v>46200</v>
      </c>
      <c r="C152">
        <v>2026</v>
      </c>
      <c r="D152" t="s">
        <v>68</v>
      </c>
      <c r="E152" t="s">
        <v>86</v>
      </c>
      <c r="F152" t="s">
        <v>25</v>
      </c>
      <c r="G152" t="s">
        <v>98</v>
      </c>
      <c r="H152" t="s">
        <v>99</v>
      </c>
      <c r="I152" t="s">
        <v>53</v>
      </c>
      <c r="J152" t="s">
        <v>90</v>
      </c>
      <c r="K152" t="s">
        <v>99</v>
      </c>
      <c r="L152" s="3">
        <v>4413</v>
      </c>
      <c r="M152" s="3">
        <v>1860</v>
      </c>
      <c r="N152" t="s">
        <v>41</v>
      </c>
      <c r="O152" t="s">
        <v>55</v>
      </c>
      <c r="P152" t="s">
        <v>32</v>
      </c>
      <c r="Q152" t="s">
        <v>34</v>
      </c>
      <c r="R152" t="s">
        <v>34</v>
      </c>
      <c r="S152" s="3">
        <v>103005</v>
      </c>
      <c r="T152" t="str">
        <f>TEXT(tblTransactions[[#This Row],[Date]],"mmm")</f>
        <v>Jun</v>
      </c>
      <c r="U152" t="str">
        <f>"Q"&amp;ROUNDUP(MONTH(tblTransactions[[#This Row],[Date]])/3,0)</f>
        <v>Q2</v>
      </c>
      <c r="V152">
        <f>MONTH(tblTransactions[[#This Row],[Date]])</f>
        <v>6</v>
      </c>
    </row>
    <row r="153" spans="1:22" x14ac:dyDescent="0.4">
      <c r="A153" t="s">
        <v>227</v>
      </c>
      <c r="B153" s="2">
        <v>46201</v>
      </c>
      <c r="C153">
        <v>2026</v>
      </c>
      <c r="D153" t="s">
        <v>23</v>
      </c>
      <c r="E153" t="s">
        <v>24</v>
      </c>
      <c r="F153" t="s">
        <v>25</v>
      </c>
      <c r="G153" t="s">
        <v>104</v>
      </c>
      <c r="H153" t="s">
        <v>105</v>
      </c>
      <c r="I153" t="s">
        <v>58</v>
      </c>
      <c r="J153" t="s">
        <v>84</v>
      </c>
      <c r="K153" t="s">
        <v>105</v>
      </c>
      <c r="L153" s="3">
        <v>13269</v>
      </c>
      <c r="M153" s="3">
        <v>2555</v>
      </c>
      <c r="N153" t="s">
        <v>60</v>
      </c>
      <c r="O153" t="s">
        <v>31</v>
      </c>
      <c r="P153" t="s">
        <v>32</v>
      </c>
      <c r="Q153" t="s">
        <v>34</v>
      </c>
      <c r="R153" t="s">
        <v>34</v>
      </c>
      <c r="S153" s="3">
        <v>89736</v>
      </c>
      <c r="T153" t="str">
        <f>TEXT(tblTransactions[[#This Row],[Date]],"mmm")</f>
        <v>Jun</v>
      </c>
      <c r="U153" t="str">
        <f>"Q"&amp;ROUNDUP(MONTH(tblTransactions[[#This Row],[Date]])/3,0)</f>
        <v>Q2</v>
      </c>
      <c r="V153">
        <f>MONTH(tblTransactions[[#This Row],[Date]])</f>
        <v>6</v>
      </c>
    </row>
    <row r="154" spans="1:22" x14ac:dyDescent="0.4">
      <c r="A154" t="s">
        <v>228</v>
      </c>
      <c r="B154" s="2">
        <v>46203</v>
      </c>
      <c r="C154">
        <v>2026</v>
      </c>
      <c r="D154" t="s">
        <v>68</v>
      </c>
      <c r="E154" t="s">
        <v>24</v>
      </c>
      <c r="F154" t="s">
        <v>25</v>
      </c>
      <c r="G154" t="s">
        <v>98</v>
      </c>
      <c r="H154" t="s">
        <v>99</v>
      </c>
      <c r="I154" t="s">
        <v>39</v>
      </c>
      <c r="J154" t="s">
        <v>65</v>
      </c>
      <c r="K154" t="s">
        <v>99</v>
      </c>
      <c r="L154" s="3">
        <v>1140</v>
      </c>
      <c r="M154" s="3">
        <v>10914</v>
      </c>
      <c r="N154" t="s">
        <v>54</v>
      </c>
      <c r="O154" t="s">
        <v>55</v>
      </c>
      <c r="P154" t="s">
        <v>32</v>
      </c>
      <c r="Q154" t="s">
        <v>33</v>
      </c>
      <c r="R154" t="s">
        <v>34</v>
      </c>
      <c r="S154" s="3">
        <v>88596</v>
      </c>
      <c r="T154" t="str">
        <f>TEXT(tblTransactions[[#This Row],[Date]],"mmm")</f>
        <v>Jun</v>
      </c>
      <c r="U154" t="str">
        <f>"Q"&amp;ROUNDUP(MONTH(tblTransactions[[#This Row],[Date]])/3,0)</f>
        <v>Q2</v>
      </c>
      <c r="V154">
        <f>MONTH(tblTransactions[[#This Row],[Date]])</f>
        <v>6</v>
      </c>
    </row>
    <row r="155" spans="1:22" x14ac:dyDescent="0.4">
      <c r="A155" t="s">
        <v>229</v>
      </c>
      <c r="B155" s="2">
        <v>46205</v>
      </c>
      <c r="C155">
        <v>2026</v>
      </c>
      <c r="D155" t="s">
        <v>44</v>
      </c>
      <c r="E155" t="s">
        <v>45</v>
      </c>
      <c r="F155" t="s">
        <v>25</v>
      </c>
      <c r="G155" t="s">
        <v>70</v>
      </c>
      <c r="H155" t="s">
        <v>71</v>
      </c>
      <c r="I155" t="s">
        <v>44</v>
      </c>
      <c r="J155" t="s">
        <v>84</v>
      </c>
      <c r="K155" t="s">
        <v>71</v>
      </c>
      <c r="L155" s="3">
        <v>14176</v>
      </c>
      <c r="M155" s="3">
        <v>2807</v>
      </c>
      <c r="N155" t="s">
        <v>41</v>
      </c>
      <c r="O155" t="s">
        <v>42</v>
      </c>
      <c r="P155" t="s">
        <v>32</v>
      </c>
      <c r="Q155" t="s">
        <v>34</v>
      </c>
      <c r="R155" t="s">
        <v>34</v>
      </c>
      <c r="S155" s="3">
        <v>74420</v>
      </c>
      <c r="T155" t="str">
        <f>TEXT(tblTransactions[[#This Row],[Date]],"mmm")</f>
        <v>Jul</v>
      </c>
      <c r="U155" t="str">
        <f>"Q"&amp;ROUNDUP(MONTH(tblTransactions[[#This Row],[Date]])/3,0)</f>
        <v>Q3</v>
      </c>
      <c r="V155">
        <f>MONTH(tblTransactions[[#This Row],[Date]])</f>
        <v>7</v>
      </c>
    </row>
    <row r="156" spans="1:22" x14ac:dyDescent="0.4">
      <c r="A156" t="s">
        <v>230</v>
      </c>
      <c r="B156" s="2">
        <v>46206</v>
      </c>
      <c r="C156">
        <v>2026</v>
      </c>
      <c r="D156" t="s">
        <v>44</v>
      </c>
      <c r="E156" t="s">
        <v>45</v>
      </c>
      <c r="F156" t="s">
        <v>25</v>
      </c>
      <c r="G156" t="s">
        <v>63</v>
      </c>
      <c r="H156" t="s">
        <v>64</v>
      </c>
      <c r="I156" t="s">
        <v>53</v>
      </c>
      <c r="J156" t="s">
        <v>65</v>
      </c>
      <c r="K156" t="s">
        <v>64</v>
      </c>
      <c r="L156" s="3">
        <v>11645</v>
      </c>
      <c r="M156" s="3">
        <v>13728</v>
      </c>
      <c r="N156" t="s">
        <v>60</v>
      </c>
      <c r="O156" t="s">
        <v>31</v>
      </c>
      <c r="P156" t="s">
        <v>32</v>
      </c>
      <c r="Q156" t="s">
        <v>34</v>
      </c>
      <c r="R156" t="s">
        <v>34</v>
      </c>
      <c r="S156" s="3">
        <v>62775</v>
      </c>
      <c r="T156" t="str">
        <f>TEXT(tblTransactions[[#This Row],[Date]],"mmm")</f>
        <v>Jul</v>
      </c>
      <c r="U156" t="str">
        <f>"Q"&amp;ROUNDUP(MONTH(tblTransactions[[#This Row],[Date]])/3,0)</f>
        <v>Q3</v>
      </c>
      <c r="V156">
        <f>MONTH(tblTransactions[[#This Row],[Date]])</f>
        <v>7</v>
      </c>
    </row>
    <row r="157" spans="1:22" x14ac:dyDescent="0.4">
      <c r="A157" t="s">
        <v>231</v>
      </c>
      <c r="B157" s="2">
        <v>46207</v>
      </c>
      <c r="C157">
        <v>2026</v>
      </c>
      <c r="D157" t="s">
        <v>23</v>
      </c>
      <c r="E157" t="s">
        <v>86</v>
      </c>
      <c r="F157" t="s">
        <v>25</v>
      </c>
      <c r="G157" t="s">
        <v>57</v>
      </c>
      <c r="H157" t="s">
        <v>40</v>
      </c>
      <c r="I157" t="s">
        <v>53</v>
      </c>
      <c r="J157" t="s">
        <v>40</v>
      </c>
      <c r="K157" t="s">
        <v>40</v>
      </c>
      <c r="L157" s="3">
        <v>1099</v>
      </c>
      <c r="M157" s="3">
        <v>14242</v>
      </c>
      <c r="N157" t="s">
        <v>30</v>
      </c>
      <c r="O157" t="s">
        <v>55</v>
      </c>
      <c r="P157" t="s">
        <v>32</v>
      </c>
      <c r="Q157" t="s">
        <v>33</v>
      </c>
      <c r="R157" t="s">
        <v>34</v>
      </c>
      <c r="S157" s="3">
        <v>61676</v>
      </c>
      <c r="T157" t="str">
        <f>TEXT(tblTransactions[[#This Row],[Date]],"mmm")</f>
        <v>Jul</v>
      </c>
      <c r="U157" t="str">
        <f>"Q"&amp;ROUNDUP(MONTH(tblTransactions[[#This Row],[Date]])/3,0)</f>
        <v>Q3</v>
      </c>
      <c r="V157">
        <f>MONTH(tblTransactions[[#This Row],[Date]])</f>
        <v>7</v>
      </c>
    </row>
    <row r="158" spans="1:22" x14ac:dyDescent="0.4">
      <c r="A158" t="s">
        <v>232</v>
      </c>
      <c r="B158" s="2">
        <v>46209</v>
      </c>
      <c r="C158">
        <v>2026</v>
      </c>
      <c r="D158" t="s">
        <v>23</v>
      </c>
      <c r="E158" t="s">
        <v>45</v>
      </c>
      <c r="F158" t="s">
        <v>25</v>
      </c>
      <c r="G158" t="s">
        <v>57</v>
      </c>
      <c r="H158" t="s">
        <v>40</v>
      </c>
      <c r="I158" t="s">
        <v>44</v>
      </c>
      <c r="J158" t="s">
        <v>84</v>
      </c>
      <c r="K158" t="s">
        <v>40</v>
      </c>
      <c r="L158" s="3">
        <v>16441</v>
      </c>
      <c r="M158" s="3">
        <v>4247</v>
      </c>
      <c r="N158" t="s">
        <v>60</v>
      </c>
      <c r="O158" t="s">
        <v>55</v>
      </c>
      <c r="P158" t="s">
        <v>32</v>
      </c>
      <c r="Q158" t="s">
        <v>34</v>
      </c>
      <c r="R158" t="s">
        <v>33</v>
      </c>
      <c r="S158" s="3">
        <v>45235</v>
      </c>
      <c r="T158" t="str">
        <f>TEXT(tblTransactions[[#This Row],[Date]],"mmm")</f>
        <v>Jul</v>
      </c>
      <c r="U158" t="str">
        <f>"Q"&amp;ROUNDUP(MONTH(tblTransactions[[#This Row],[Date]])/3,0)</f>
        <v>Q3</v>
      </c>
      <c r="V158">
        <f>MONTH(tblTransactions[[#This Row],[Date]])</f>
        <v>7</v>
      </c>
    </row>
    <row r="159" spans="1:22" x14ac:dyDescent="0.4">
      <c r="A159" t="s">
        <v>233</v>
      </c>
      <c r="B159" s="2">
        <v>46210</v>
      </c>
      <c r="C159">
        <v>2026</v>
      </c>
      <c r="D159" t="s">
        <v>68</v>
      </c>
      <c r="E159" t="s">
        <v>24</v>
      </c>
      <c r="F159" t="s">
        <v>25</v>
      </c>
      <c r="G159" t="s">
        <v>46</v>
      </c>
      <c r="H159" t="s">
        <v>47</v>
      </c>
      <c r="I159" t="s">
        <v>39</v>
      </c>
      <c r="J159" t="s">
        <v>74</v>
      </c>
      <c r="K159" t="s">
        <v>47</v>
      </c>
      <c r="L159" s="3">
        <v>5772</v>
      </c>
      <c r="M159" s="3">
        <v>11574</v>
      </c>
      <c r="N159" t="s">
        <v>30</v>
      </c>
      <c r="O159" t="s">
        <v>55</v>
      </c>
      <c r="P159" t="s">
        <v>32</v>
      </c>
      <c r="Q159" t="s">
        <v>34</v>
      </c>
      <c r="R159" t="s">
        <v>34</v>
      </c>
      <c r="S159" s="3">
        <v>39463</v>
      </c>
      <c r="T159" t="str">
        <f>TEXT(tblTransactions[[#This Row],[Date]],"mmm")</f>
        <v>Jul</v>
      </c>
      <c r="U159" t="str">
        <f>"Q"&amp;ROUNDUP(MONTH(tblTransactions[[#This Row],[Date]])/3,0)</f>
        <v>Q3</v>
      </c>
      <c r="V159">
        <f>MONTH(tblTransactions[[#This Row],[Date]])</f>
        <v>7</v>
      </c>
    </row>
    <row r="160" spans="1:22" x14ac:dyDescent="0.4">
      <c r="A160" t="s">
        <v>234</v>
      </c>
      <c r="B160" s="2">
        <v>46211</v>
      </c>
      <c r="C160">
        <v>2026</v>
      </c>
      <c r="D160" t="s">
        <v>68</v>
      </c>
      <c r="E160" t="s">
        <v>45</v>
      </c>
      <c r="F160" t="s">
        <v>25</v>
      </c>
      <c r="G160" t="s">
        <v>63</v>
      </c>
      <c r="H160" t="s">
        <v>64</v>
      </c>
      <c r="I160" t="s">
        <v>44</v>
      </c>
      <c r="J160" t="s">
        <v>90</v>
      </c>
      <c r="K160" t="s">
        <v>64</v>
      </c>
      <c r="L160" s="3">
        <v>5300</v>
      </c>
      <c r="M160" s="3">
        <v>13619</v>
      </c>
      <c r="N160" t="s">
        <v>54</v>
      </c>
      <c r="O160" t="s">
        <v>42</v>
      </c>
      <c r="P160" t="s">
        <v>32</v>
      </c>
      <c r="Q160" t="s">
        <v>33</v>
      </c>
      <c r="R160" t="s">
        <v>34</v>
      </c>
      <c r="S160" s="3">
        <v>34163</v>
      </c>
      <c r="T160" t="str">
        <f>TEXT(tblTransactions[[#This Row],[Date]],"mmm")</f>
        <v>Jul</v>
      </c>
      <c r="U160" t="str">
        <f>"Q"&amp;ROUNDUP(MONTH(tblTransactions[[#This Row],[Date]])/3,0)</f>
        <v>Q3</v>
      </c>
      <c r="V160">
        <f>MONTH(tblTransactions[[#This Row],[Date]])</f>
        <v>7</v>
      </c>
    </row>
    <row r="161" spans="1:22" x14ac:dyDescent="0.4">
      <c r="A161" t="s">
        <v>235</v>
      </c>
      <c r="B161" s="2">
        <v>46212</v>
      </c>
      <c r="C161">
        <v>2026</v>
      </c>
      <c r="D161" t="s">
        <v>23</v>
      </c>
      <c r="E161" t="s">
        <v>86</v>
      </c>
      <c r="F161" t="s">
        <v>25</v>
      </c>
      <c r="G161" t="s">
        <v>63</v>
      </c>
      <c r="H161" t="s">
        <v>64</v>
      </c>
      <c r="I161" t="s">
        <v>39</v>
      </c>
      <c r="J161" t="s">
        <v>84</v>
      </c>
      <c r="K161" t="s">
        <v>64</v>
      </c>
      <c r="L161" s="3">
        <v>17334</v>
      </c>
      <c r="M161" s="3">
        <v>4755</v>
      </c>
      <c r="N161" t="s">
        <v>54</v>
      </c>
      <c r="O161" t="s">
        <v>50</v>
      </c>
      <c r="P161" t="s">
        <v>32</v>
      </c>
      <c r="Q161" t="s">
        <v>34</v>
      </c>
      <c r="R161" t="s">
        <v>34</v>
      </c>
      <c r="S161" s="3">
        <v>16829</v>
      </c>
      <c r="T161" t="str">
        <f>TEXT(tblTransactions[[#This Row],[Date]],"mmm")</f>
        <v>Jul</v>
      </c>
      <c r="U161" t="str">
        <f>"Q"&amp;ROUNDUP(MONTH(tblTransactions[[#This Row],[Date]])/3,0)</f>
        <v>Q3</v>
      </c>
      <c r="V161">
        <f>MONTH(tblTransactions[[#This Row],[Date]])</f>
        <v>7</v>
      </c>
    </row>
    <row r="162" spans="1:22" x14ac:dyDescent="0.4">
      <c r="A162" t="s">
        <v>236</v>
      </c>
      <c r="B162" s="2">
        <v>46213</v>
      </c>
      <c r="C162">
        <v>2026</v>
      </c>
      <c r="D162" t="s">
        <v>44</v>
      </c>
      <c r="E162" t="s">
        <v>86</v>
      </c>
      <c r="F162" t="s">
        <v>25</v>
      </c>
      <c r="G162" t="s">
        <v>57</v>
      </c>
      <c r="H162" t="s">
        <v>40</v>
      </c>
      <c r="I162" t="s">
        <v>58</v>
      </c>
      <c r="J162" t="s">
        <v>59</v>
      </c>
      <c r="K162" t="s">
        <v>40</v>
      </c>
      <c r="L162" s="3">
        <v>651</v>
      </c>
      <c r="M162" s="3">
        <v>11493</v>
      </c>
      <c r="N162" t="s">
        <v>41</v>
      </c>
      <c r="O162" t="s">
        <v>55</v>
      </c>
      <c r="P162" t="s">
        <v>32</v>
      </c>
      <c r="Q162" t="s">
        <v>34</v>
      </c>
      <c r="R162" t="s">
        <v>34</v>
      </c>
      <c r="S162" s="3">
        <v>16178</v>
      </c>
      <c r="T162" t="str">
        <f>TEXT(tblTransactions[[#This Row],[Date]],"mmm")</f>
        <v>Jul</v>
      </c>
      <c r="U162" t="str">
        <f>"Q"&amp;ROUNDUP(MONTH(tblTransactions[[#This Row],[Date]])/3,0)</f>
        <v>Q3</v>
      </c>
      <c r="V162">
        <f>MONTH(tblTransactions[[#This Row],[Date]])</f>
        <v>7</v>
      </c>
    </row>
    <row r="163" spans="1:22" x14ac:dyDescent="0.4">
      <c r="A163" t="s">
        <v>237</v>
      </c>
      <c r="B163" s="2">
        <v>46214</v>
      </c>
      <c r="C163">
        <v>2026</v>
      </c>
      <c r="D163" t="s">
        <v>44</v>
      </c>
      <c r="E163" t="s">
        <v>86</v>
      </c>
      <c r="F163" t="s">
        <v>25</v>
      </c>
      <c r="G163" t="s">
        <v>63</v>
      </c>
      <c r="H163" t="s">
        <v>64</v>
      </c>
      <c r="I163" t="s">
        <v>44</v>
      </c>
      <c r="J163" t="s">
        <v>49</v>
      </c>
      <c r="K163" t="s">
        <v>64</v>
      </c>
      <c r="L163" s="3">
        <v>4089</v>
      </c>
      <c r="M163" s="3">
        <v>17402</v>
      </c>
      <c r="N163" t="s">
        <v>41</v>
      </c>
      <c r="O163" t="s">
        <v>31</v>
      </c>
      <c r="P163" t="s">
        <v>32</v>
      </c>
      <c r="Q163" t="s">
        <v>34</v>
      </c>
      <c r="R163" t="s">
        <v>34</v>
      </c>
      <c r="S163" s="3">
        <v>12089</v>
      </c>
      <c r="T163" t="str">
        <f>TEXT(tblTransactions[[#This Row],[Date]],"mmm")</f>
        <v>Jul</v>
      </c>
      <c r="U163" t="str">
        <f>"Q"&amp;ROUNDUP(MONTH(tblTransactions[[#This Row],[Date]])/3,0)</f>
        <v>Q3</v>
      </c>
      <c r="V163">
        <f>MONTH(tblTransactions[[#This Row],[Date]])</f>
        <v>7</v>
      </c>
    </row>
    <row r="164" spans="1:22" x14ac:dyDescent="0.4">
      <c r="A164" t="s">
        <v>238</v>
      </c>
      <c r="B164" s="2">
        <v>46215</v>
      </c>
      <c r="C164">
        <v>2026</v>
      </c>
      <c r="D164" t="s">
        <v>23</v>
      </c>
      <c r="E164" t="s">
        <v>24</v>
      </c>
      <c r="F164" t="s">
        <v>25</v>
      </c>
      <c r="G164" t="s">
        <v>104</v>
      </c>
      <c r="H164" t="s">
        <v>105</v>
      </c>
      <c r="I164" t="s">
        <v>44</v>
      </c>
      <c r="J164" t="s">
        <v>90</v>
      </c>
      <c r="K164" t="s">
        <v>105</v>
      </c>
      <c r="L164" s="3">
        <v>13663</v>
      </c>
      <c r="M164" s="3">
        <v>18506</v>
      </c>
      <c r="N164" t="s">
        <v>60</v>
      </c>
      <c r="O164" t="s">
        <v>55</v>
      </c>
      <c r="P164" t="s">
        <v>32</v>
      </c>
      <c r="Q164" t="s">
        <v>34</v>
      </c>
      <c r="R164" t="s">
        <v>34</v>
      </c>
      <c r="S164" s="3">
        <v>-1574</v>
      </c>
      <c r="T164" t="str">
        <f>TEXT(tblTransactions[[#This Row],[Date]],"mmm")</f>
        <v>Jul</v>
      </c>
      <c r="U164" t="str">
        <f>"Q"&amp;ROUNDUP(MONTH(tblTransactions[[#This Row],[Date]])/3,0)</f>
        <v>Q3</v>
      </c>
      <c r="V164">
        <f>MONTH(tblTransactions[[#This Row],[Date]])</f>
        <v>7</v>
      </c>
    </row>
    <row r="165" spans="1:22" x14ac:dyDescent="0.4">
      <c r="A165" t="s">
        <v>239</v>
      </c>
      <c r="B165" s="2">
        <v>46216</v>
      </c>
      <c r="C165">
        <v>2026</v>
      </c>
      <c r="D165" t="s">
        <v>68</v>
      </c>
      <c r="E165" t="s">
        <v>36</v>
      </c>
      <c r="F165" t="s">
        <v>25</v>
      </c>
      <c r="G165" t="s">
        <v>73</v>
      </c>
      <c r="H165" t="s">
        <v>74</v>
      </c>
      <c r="I165" t="s">
        <v>48</v>
      </c>
      <c r="J165" t="s">
        <v>40</v>
      </c>
      <c r="K165" t="s">
        <v>74</v>
      </c>
      <c r="L165" s="3">
        <v>19054</v>
      </c>
      <c r="M165" s="3">
        <v>18912</v>
      </c>
      <c r="N165" t="s">
        <v>60</v>
      </c>
      <c r="O165" t="s">
        <v>31</v>
      </c>
      <c r="P165" t="s">
        <v>32</v>
      </c>
      <c r="Q165" t="s">
        <v>33</v>
      </c>
      <c r="R165" t="s">
        <v>34</v>
      </c>
      <c r="S165" s="3">
        <v>-20628</v>
      </c>
      <c r="T165" t="str">
        <f>TEXT(tblTransactions[[#This Row],[Date]],"mmm")</f>
        <v>Jul</v>
      </c>
      <c r="U165" t="str">
        <f>"Q"&amp;ROUNDUP(MONTH(tblTransactions[[#This Row],[Date]])/3,0)</f>
        <v>Q3</v>
      </c>
      <c r="V165">
        <f>MONTH(tblTransactions[[#This Row],[Date]])</f>
        <v>7</v>
      </c>
    </row>
    <row r="166" spans="1:22" x14ac:dyDescent="0.4">
      <c r="A166" t="s">
        <v>240</v>
      </c>
      <c r="B166" s="2">
        <v>46217</v>
      </c>
      <c r="C166">
        <v>2026</v>
      </c>
      <c r="D166" t="s">
        <v>23</v>
      </c>
      <c r="E166" t="s">
        <v>36</v>
      </c>
      <c r="F166" t="s">
        <v>25</v>
      </c>
      <c r="G166" t="s">
        <v>104</v>
      </c>
      <c r="H166" t="s">
        <v>105</v>
      </c>
      <c r="I166" t="s">
        <v>53</v>
      </c>
      <c r="J166" t="s">
        <v>59</v>
      </c>
      <c r="K166" t="s">
        <v>105</v>
      </c>
      <c r="L166" s="3">
        <v>12066</v>
      </c>
      <c r="M166" s="3">
        <v>10585</v>
      </c>
      <c r="N166" t="s">
        <v>60</v>
      </c>
      <c r="O166" t="s">
        <v>55</v>
      </c>
      <c r="P166" t="s">
        <v>32</v>
      </c>
      <c r="Q166" t="s">
        <v>34</v>
      </c>
      <c r="R166" t="s">
        <v>34</v>
      </c>
      <c r="S166" s="3">
        <v>-32694</v>
      </c>
      <c r="T166" t="str">
        <f>TEXT(tblTransactions[[#This Row],[Date]],"mmm")</f>
        <v>Jul</v>
      </c>
      <c r="U166" t="str">
        <f>"Q"&amp;ROUNDUP(MONTH(tblTransactions[[#This Row],[Date]])/3,0)</f>
        <v>Q3</v>
      </c>
      <c r="V166">
        <f>MONTH(tblTransactions[[#This Row],[Date]])</f>
        <v>7</v>
      </c>
    </row>
    <row r="167" spans="1:22" x14ac:dyDescent="0.4">
      <c r="A167" t="s">
        <v>241</v>
      </c>
      <c r="B167" s="2">
        <v>46218</v>
      </c>
      <c r="C167">
        <v>2026</v>
      </c>
      <c r="D167" t="s">
        <v>23</v>
      </c>
      <c r="E167" t="s">
        <v>24</v>
      </c>
      <c r="F167" t="s">
        <v>25</v>
      </c>
      <c r="G167" t="s">
        <v>63</v>
      </c>
      <c r="H167" t="s">
        <v>64</v>
      </c>
      <c r="I167" t="s">
        <v>58</v>
      </c>
      <c r="J167" t="s">
        <v>49</v>
      </c>
      <c r="K167" t="s">
        <v>64</v>
      </c>
      <c r="L167" s="3">
        <v>16940</v>
      </c>
      <c r="M167" s="3">
        <v>18753</v>
      </c>
      <c r="N167" t="s">
        <v>54</v>
      </c>
      <c r="O167" t="s">
        <v>31</v>
      </c>
      <c r="P167" t="s">
        <v>32</v>
      </c>
      <c r="Q167" t="s">
        <v>34</v>
      </c>
      <c r="R167" t="s">
        <v>33</v>
      </c>
      <c r="S167" s="3">
        <v>-49634</v>
      </c>
      <c r="T167" t="str">
        <f>TEXT(tblTransactions[[#This Row],[Date]],"mmm")</f>
        <v>Jul</v>
      </c>
      <c r="U167" t="str">
        <f>"Q"&amp;ROUNDUP(MONTH(tblTransactions[[#This Row],[Date]])/3,0)</f>
        <v>Q3</v>
      </c>
      <c r="V167">
        <f>MONTH(tblTransactions[[#This Row],[Date]])</f>
        <v>7</v>
      </c>
    </row>
    <row r="168" spans="1:22" x14ac:dyDescent="0.4">
      <c r="A168" t="s">
        <v>242</v>
      </c>
      <c r="B168" s="2">
        <v>46220</v>
      </c>
      <c r="C168">
        <v>2026</v>
      </c>
      <c r="D168" t="s">
        <v>23</v>
      </c>
      <c r="E168" t="s">
        <v>86</v>
      </c>
      <c r="F168" t="s">
        <v>25</v>
      </c>
      <c r="G168" t="s">
        <v>104</v>
      </c>
      <c r="H168" t="s">
        <v>105</v>
      </c>
      <c r="I168" t="s">
        <v>44</v>
      </c>
      <c r="J168" t="s">
        <v>29</v>
      </c>
      <c r="K168" t="s">
        <v>105</v>
      </c>
      <c r="L168" s="3">
        <v>2977</v>
      </c>
      <c r="M168" s="3">
        <v>8566</v>
      </c>
      <c r="N168" t="s">
        <v>60</v>
      </c>
      <c r="O168" t="s">
        <v>50</v>
      </c>
      <c r="P168" t="s">
        <v>32</v>
      </c>
      <c r="Q168" t="s">
        <v>34</v>
      </c>
      <c r="R168" t="s">
        <v>34</v>
      </c>
      <c r="S168" s="3">
        <v>-52611</v>
      </c>
      <c r="T168" t="str">
        <f>TEXT(tblTransactions[[#This Row],[Date]],"mmm")</f>
        <v>Jul</v>
      </c>
      <c r="U168" t="str">
        <f>"Q"&amp;ROUNDUP(MONTH(tblTransactions[[#This Row],[Date]])/3,0)</f>
        <v>Q3</v>
      </c>
      <c r="V168">
        <f>MONTH(tblTransactions[[#This Row],[Date]])</f>
        <v>7</v>
      </c>
    </row>
    <row r="169" spans="1:22" x14ac:dyDescent="0.4">
      <c r="A169" t="s">
        <v>243</v>
      </c>
      <c r="B169" s="2">
        <v>46221</v>
      </c>
      <c r="C169">
        <v>2026</v>
      </c>
      <c r="D169" t="s">
        <v>23</v>
      </c>
      <c r="E169" t="s">
        <v>45</v>
      </c>
      <c r="F169" t="s">
        <v>25</v>
      </c>
      <c r="G169" t="s">
        <v>46</v>
      </c>
      <c r="H169" t="s">
        <v>47</v>
      </c>
      <c r="I169" t="s">
        <v>58</v>
      </c>
      <c r="J169" t="s">
        <v>49</v>
      </c>
      <c r="K169" t="s">
        <v>47</v>
      </c>
      <c r="L169" s="3">
        <v>6576</v>
      </c>
      <c r="M169" s="3">
        <v>18444</v>
      </c>
      <c r="N169" t="s">
        <v>60</v>
      </c>
      <c r="O169" t="s">
        <v>31</v>
      </c>
      <c r="P169" t="s">
        <v>32</v>
      </c>
      <c r="Q169" t="s">
        <v>34</v>
      </c>
      <c r="R169" t="s">
        <v>33</v>
      </c>
      <c r="S169" s="3">
        <v>-59187</v>
      </c>
      <c r="T169" t="str">
        <f>TEXT(tblTransactions[[#This Row],[Date]],"mmm")</f>
        <v>Jul</v>
      </c>
      <c r="U169" t="str">
        <f>"Q"&amp;ROUNDUP(MONTH(tblTransactions[[#This Row],[Date]])/3,0)</f>
        <v>Q3</v>
      </c>
      <c r="V169">
        <f>MONTH(tblTransactions[[#This Row],[Date]])</f>
        <v>7</v>
      </c>
    </row>
    <row r="170" spans="1:22" x14ac:dyDescent="0.4">
      <c r="A170" t="s">
        <v>244</v>
      </c>
      <c r="B170" s="2">
        <v>46222</v>
      </c>
      <c r="C170">
        <v>2026</v>
      </c>
      <c r="D170" t="s">
        <v>44</v>
      </c>
      <c r="E170" t="s">
        <v>36</v>
      </c>
      <c r="F170" t="s">
        <v>25</v>
      </c>
      <c r="G170" t="s">
        <v>63</v>
      </c>
      <c r="H170" t="s">
        <v>64</v>
      </c>
      <c r="I170" t="s">
        <v>39</v>
      </c>
      <c r="J170" t="s">
        <v>40</v>
      </c>
      <c r="K170" t="s">
        <v>64</v>
      </c>
      <c r="L170" s="3">
        <v>17427</v>
      </c>
      <c r="M170" s="3">
        <v>10310</v>
      </c>
      <c r="N170" t="s">
        <v>54</v>
      </c>
      <c r="O170" t="s">
        <v>31</v>
      </c>
      <c r="P170" t="s">
        <v>32</v>
      </c>
      <c r="Q170" t="s">
        <v>34</v>
      </c>
      <c r="R170" t="s">
        <v>34</v>
      </c>
      <c r="S170" s="3">
        <v>-76614</v>
      </c>
      <c r="T170" t="str">
        <f>TEXT(tblTransactions[[#This Row],[Date]],"mmm")</f>
        <v>Jul</v>
      </c>
      <c r="U170" t="str">
        <f>"Q"&amp;ROUNDUP(MONTH(tblTransactions[[#This Row],[Date]])/3,0)</f>
        <v>Q3</v>
      </c>
      <c r="V170">
        <f>MONTH(tblTransactions[[#This Row],[Date]])</f>
        <v>7</v>
      </c>
    </row>
    <row r="171" spans="1:22" x14ac:dyDescent="0.4">
      <c r="A171" t="s">
        <v>245</v>
      </c>
      <c r="B171" s="2">
        <v>46224</v>
      </c>
      <c r="C171">
        <v>2026</v>
      </c>
      <c r="D171" t="s">
        <v>23</v>
      </c>
      <c r="E171" t="s">
        <v>36</v>
      </c>
      <c r="F171" t="s">
        <v>37</v>
      </c>
      <c r="G171" t="s">
        <v>38</v>
      </c>
      <c r="H171" t="s">
        <v>38</v>
      </c>
      <c r="I171" t="s">
        <v>28</v>
      </c>
      <c r="J171" t="s">
        <v>40</v>
      </c>
      <c r="K171" t="s">
        <v>38</v>
      </c>
      <c r="L171" s="3">
        <v>8521</v>
      </c>
      <c r="M171" s="3">
        <v>0</v>
      </c>
      <c r="N171" t="s">
        <v>60</v>
      </c>
      <c r="O171" t="s">
        <v>42</v>
      </c>
      <c r="P171" t="s">
        <v>32</v>
      </c>
      <c r="Q171" t="s">
        <v>34</v>
      </c>
      <c r="R171" t="s">
        <v>34</v>
      </c>
      <c r="S171" s="3">
        <v>-68093</v>
      </c>
      <c r="T171" t="str">
        <f>TEXT(tblTransactions[[#This Row],[Date]],"mmm")</f>
        <v>Jul</v>
      </c>
      <c r="U171" t="str">
        <f>"Q"&amp;ROUNDUP(MONTH(tblTransactions[[#This Row],[Date]])/3,0)</f>
        <v>Q3</v>
      </c>
      <c r="V171">
        <f>MONTH(tblTransactions[[#This Row],[Date]])</f>
        <v>7</v>
      </c>
    </row>
    <row r="172" spans="1:22" x14ac:dyDescent="0.4">
      <c r="A172" t="s">
        <v>246</v>
      </c>
      <c r="B172" s="2">
        <v>46225</v>
      </c>
      <c r="C172">
        <v>2026</v>
      </c>
      <c r="D172" t="s">
        <v>44</v>
      </c>
      <c r="E172" t="s">
        <v>36</v>
      </c>
      <c r="F172" t="s">
        <v>25</v>
      </c>
      <c r="G172" t="s">
        <v>57</v>
      </c>
      <c r="H172" t="s">
        <v>40</v>
      </c>
      <c r="I172" t="s">
        <v>44</v>
      </c>
      <c r="J172" t="s">
        <v>29</v>
      </c>
      <c r="K172" t="s">
        <v>40</v>
      </c>
      <c r="L172" s="3">
        <v>13341</v>
      </c>
      <c r="M172" s="3">
        <v>3569</v>
      </c>
      <c r="N172" t="s">
        <v>30</v>
      </c>
      <c r="O172" t="s">
        <v>31</v>
      </c>
      <c r="P172" t="s">
        <v>32</v>
      </c>
      <c r="Q172" t="s">
        <v>33</v>
      </c>
      <c r="R172" t="s">
        <v>33</v>
      </c>
      <c r="S172" s="3">
        <v>-81434</v>
      </c>
      <c r="T172" t="str">
        <f>TEXT(tblTransactions[[#This Row],[Date]],"mmm")</f>
        <v>Jul</v>
      </c>
      <c r="U172" t="str">
        <f>"Q"&amp;ROUNDUP(MONTH(tblTransactions[[#This Row],[Date]])/3,0)</f>
        <v>Q3</v>
      </c>
      <c r="V172">
        <f>MONTH(tblTransactions[[#This Row],[Date]])</f>
        <v>7</v>
      </c>
    </row>
    <row r="173" spans="1:22" x14ac:dyDescent="0.4">
      <c r="A173" t="s">
        <v>247</v>
      </c>
      <c r="B173" s="2">
        <v>46226</v>
      </c>
      <c r="C173">
        <v>2026</v>
      </c>
      <c r="D173" t="s">
        <v>68</v>
      </c>
      <c r="E173" t="s">
        <v>86</v>
      </c>
      <c r="F173" t="s">
        <v>25</v>
      </c>
      <c r="G173" t="s">
        <v>70</v>
      </c>
      <c r="H173" t="s">
        <v>71</v>
      </c>
      <c r="I173" t="s">
        <v>53</v>
      </c>
      <c r="J173" t="s">
        <v>90</v>
      </c>
      <c r="K173" t="s">
        <v>71</v>
      </c>
      <c r="L173" s="3">
        <v>15098</v>
      </c>
      <c r="M173" s="3">
        <v>15462</v>
      </c>
      <c r="N173" t="s">
        <v>41</v>
      </c>
      <c r="O173" t="s">
        <v>42</v>
      </c>
      <c r="P173" t="s">
        <v>32</v>
      </c>
      <c r="Q173" t="s">
        <v>33</v>
      </c>
      <c r="R173" t="s">
        <v>33</v>
      </c>
      <c r="S173" s="3">
        <v>-96532</v>
      </c>
      <c r="T173" t="str">
        <f>TEXT(tblTransactions[[#This Row],[Date]],"mmm")</f>
        <v>Jul</v>
      </c>
      <c r="U173" t="str">
        <f>"Q"&amp;ROUNDUP(MONTH(tblTransactions[[#This Row],[Date]])/3,0)</f>
        <v>Q3</v>
      </c>
      <c r="V173">
        <f>MONTH(tblTransactions[[#This Row],[Date]])</f>
        <v>7</v>
      </c>
    </row>
    <row r="174" spans="1:22" x14ac:dyDescent="0.4">
      <c r="A174" t="s">
        <v>248</v>
      </c>
      <c r="B174" s="2">
        <v>46227</v>
      </c>
      <c r="C174">
        <v>2026</v>
      </c>
      <c r="D174" t="s">
        <v>23</v>
      </c>
      <c r="E174" t="s">
        <v>86</v>
      </c>
      <c r="F174" t="s">
        <v>37</v>
      </c>
      <c r="G174" t="s">
        <v>93</v>
      </c>
      <c r="H174" t="s">
        <v>94</v>
      </c>
      <c r="I174" t="s">
        <v>48</v>
      </c>
      <c r="J174" t="s">
        <v>111</v>
      </c>
      <c r="K174" t="s">
        <v>94</v>
      </c>
      <c r="L174" s="3">
        <v>11101</v>
      </c>
      <c r="M174" s="3">
        <v>0</v>
      </c>
      <c r="N174" t="s">
        <v>60</v>
      </c>
      <c r="O174" t="s">
        <v>55</v>
      </c>
      <c r="P174" t="s">
        <v>32</v>
      </c>
      <c r="Q174" t="s">
        <v>34</v>
      </c>
      <c r="R174" t="s">
        <v>34</v>
      </c>
      <c r="S174" s="3">
        <v>-85431</v>
      </c>
      <c r="T174" t="str">
        <f>TEXT(tblTransactions[[#This Row],[Date]],"mmm")</f>
        <v>Jul</v>
      </c>
      <c r="U174" t="str">
        <f>"Q"&amp;ROUNDUP(MONTH(tblTransactions[[#This Row],[Date]])/3,0)</f>
        <v>Q3</v>
      </c>
      <c r="V174">
        <f>MONTH(tblTransactions[[#This Row],[Date]])</f>
        <v>7</v>
      </c>
    </row>
    <row r="175" spans="1:22" x14ac:dyDescent="0.4">
      <c r="A175" t="s">
        <v>249</v>
      </c>
      <c r="B175" s="2">
        <v>46228</v>
      </c>
      <c r="C175">
        <v>2026</v>
      </c>
      <c r="D175" t="s">
        <v>44</v>
      </c>
      <c r="E175" t="s">
        <v>36</v>
      </c>
      <c r="F175" t="s">
        <v>25</v>
      </c>
      <c r="G175" t="s">
        <v>98</v>
      </c>
      <c r="H175" t="s">
        <v>99</v>
      </c>
      <c r="I175" t="s">
        <v>44</v>
      </c>
      <c r="J175" t="s">
        <v>84</v>
      </c>
      <c r="K175" t="s">
        <v>99</v>
      </c>
      <c r="L175" s="3">
        <v>6584</v>
      </c>
      <c r="M175" s="3">
        <v>4223</v>
      </c>
      <c r="N175" t="s">
        <v>41</v>
      </c>
      <c r="O175" t="s">
        <v>31</v>
      </c>
      <c r="P175" t="s">
        <v>32</v>
      </c>
      <c r="Q175" t="s">
        <v>33</v>
      </c>
      <c r="R175" t="s">
        <v>34</v>
      </c>
      <c r="S175" s="3">
        <v>-92015</v>
      </c>
      <c r="T175" t="str">
        <f>TEXT(tblTransactions[[#This Row],[Date]],"mmm")</f>
        <v>Jul</v>
      </c>
      <c r="U175" t="str">
        <f>"Q"&amp;ROUNDUP(MONTH(tblTransactions[[#This Row],[Date]])/3,0)</f>
        <v>Q3</v>
      </c>
      <c r="V175">
        <f>MONTH(tblTransactions[[#This Row],[Date]])</f>
        <v>7</v>
      </c>
    </row>
    <row r="176" spans="1:22" x14ac:dyDescent="0.4">
      <c r="A176" t="s">
        <v>250</v>
      </c>
      <c r="B176" s="2">
        <v>46229</v>
      </c>
      <c r="C176">
        <v>2026</v>
      </c>
      <c r="D176" t="s">
        <v>68</v>
      </c>
      <c r="E176" t="s">
        <v>24</v>
      </c>
      <c r="F176" t="s">
        <v>25</v>
      </c>
      <c r="G176" t="s">
        <v>63</v>
      </c>
      <c r="H176" t="s">
        <v>64</v>
      </c>
      <c r="I176" t="s">
        <v>48</v>
      </c>
      <c r="J176" t="s">
        <v>111</v>
      </c>
      <c r="K176" t="s">
        <v>64</v>
      </c>
      <c r="L176" s="3">
        <v>1855</v>
      </c>
      <c r="M176" s="3">
        <v>19266</v>
      </c>
      <c r="N176" t="s">
        <v>54</v>
      </c>
      <c r="O176" t="s">
        <v>55</v>
      </c>
      <c r="P176" t="s">
        <v>32</v>
      </c>
      <c r="Q176" t="s">
        <v>34</v>
      </c>
      <c r="R176" t="s">
        <v>33</v>
      </c>
      <c r="S176" s="3">
        <v>-93870</v>
      </c>
      <c r="T176" t="str">
        <f>TEXT(tblTransactions[[#This Row],[Date]],"mmm")</f>
        <v>Jul</v>
      </c>
      <c r="U176" t="str">
        <f>"Q"&amp;ROUNDUP(MONTH(tblTransactions[[#This Row],[Date]])/3,0)</f>
        <v>Q3</v>
      </c>
      <c r="V176">
        <f>MONTH(tblTransactions[[#This Row],[Date]])</f>
        <v>7</v>
      </c>
    </row>
    <row r="177" spans="1:22" x14ac:dyDescent="0.4">
      <c r="A177" t="s">
        <v>251</v>
      </c>
      <c r="B177" s="2">
        <v>46230</v>
      </c>
      <c r="C177">
        <v>2026</v>
      </c>
      <c r="D177" t="s">
        <v>23</v>
      </c>
      <c r="E177" t="s">
        <v>86</v>
      </c>
      <c r="F177" t="s">
        <v>25</v>
      </c>
      <c r="G177" t="s">
        <v>98</v>
      </c>
      <c r="H177" t="s">
        <v>99</v>
      </c>
      <c r="I177" t="s">
        <v>58</v>
      </c>
      <c r="J177" t="s">
        <v>111</v>
      </c>
      <c r="K177" t="s">
        <v>99</v>
      </c>
      <c r="L177" s="3">
        <v>19731</v>
      </c>
      <c r="M177" s="3">
        <v>14910</v>
      </c>
      <c r="N177" t="s">
        <v>60</v>
      </c>
      <c r="O177" t="s">
        <v>50</v>
      </c>
      <c r="P177" t="s">
        <v>32</v>
      </c>
      <c r="Q177" t="s">
        <v>34</v>
      </c>
      <c r="R177" t="s">
        <v>34</v>
      </c>
      <c r="S177" s="3">
        <v>-113601</v>
      </c>
      <c r="T177" t="str">
        <f>TEXT(tblTransactions[[#This Row],[Date]],"mmm")</f>
        <v>Jul</v>
      </c>
      <c r="U177" t="str">
        <f>"Q"&amp;ROUNDUP(MONTH(tblTransactions[[#This Row],[Date]])/3,0)</f>
        <v>Q3</v>
      </c>
      <c r="V177">
        <f>MONTH(tblTransactions[[#This Row],[Date]])</f>
        <v>7</v>
      </c>
    </row>
    <row r="178" spans="1:22" x14ac:dyDescent="0.4">
      <c r="A178" t="s">
        <v>252</v>
      </c>
      <c r="B178" s="2">
        <v>46231</v>
      </c>
      <c r="C178">
        <v>2026</v>
      </c>
      <c r="D178" t="s">
        <v>23</v>
      </c>
      <c r="E178" t="s">
        <v>24</v>
      </c>
      <c r="F178" t="s">
        <v>25</v>
      </c>
      <c r="G178" t="s">
        <v>70</v>
      </c>
      <c r="H178" t="s">
        <v>71</v>
      </c>
      <c r="I178" t="s">
        <v>58</v>
      </c>
      <c r="J178" t="s">
        <v>90</v>
      </c>
      <c r="K178" t="s">
        <v>71</v>
      </c>
      <c r="L178" s="3">
        <v>16908</v>
      </c>
      <c r="M178" s="3">
        <v>8592</v>
      </c>
      <c r="N178" t="s">
        <v>54</v>
      </c>
      <c r="O178" t="s">
        <v>55</v>
      </c>
      <c r="P178" t="s">
        <v>32</v>
      </c>
      <c r="Q178" t="s">
        <v>34</v>
      </c>
      <c r="R178" t="s">
        <v>34</v>
      </c>
      <c r="S178" s="3">
        <v>-130509</v>
      </c>
      <c r="T178" t="str">
        <f>TEXT(tblTransactions[[#This Row],[Date]],"mmm")</f>
        <v>Jul</v>
      </c>
      <c r="U178" t="str">
        <f>"Q"&amp;ROUNDUP(MONTH(tblTransactions[[#This Row],[Date]])/3,0)</f>
        <v>Q3</v>
      </c>
      <c r="V178">
        <f>MONTH(tblTransactions[[#This Row],[Date]])</f>
        <v>7</v>
      </c>
    </row>
    <row r="179" spans="1:22" x14ac:dyDescent="0.4">
      <c r="A179" t="s">
        <v>253</v>
      </c>
      <c r="B179" s="2">
        <v>46232</v>
      </c>
      <c r="C179">
        <v>2026</v>
      </c>
      <c r="D179" t="s">
        <v>44</v>
      </c>
      <c r="E179" t="s">
        <v>86</v>
      </c>
      <c r="F179" t="s">
        <v>25</v>
      </c>
      <c r="G179" t="s">
        <v>104</v>
      </c>
      <c r="H179" t="s">
        <v>105</v>
      </c>
      <c r="I179" t="s">
        <v>58</v>
      </c>
      <c r="J179" t="s">
        <v>59</v>
      </c>
      <c r="K179" t="s">
        <v>105</v>
      </c>
      <c r="L179" s="3">
        <v>11250</v>
      </c>
      <c r="M179" s="3">
        <v>15528</v>
      </c>
      <c r="N179" t="s">
        <v>54</v>
      </c>
      <c r="O179" t="s">
        <v>50</v>
      </c>
      <c r="P179" t="s">
        <v>32</v>
      </c>
      <c r="Q179" t="s">
        <v>34</v>
      </c>
      <c r="R179" t="s">
        <v>34</v>
      </c>
      <c r="S179" s="3">
        <v>-141759</v>
      </c>
      <c r="T179" t="str">
        <f>TEXT(tblTransactions[[#This Row],[Date]],"mmm")</f>
        <v>Jul</v>
      </c>
      <c r="U179" t="str">
        <f>"Q"&amp;ROUNDUP(MONTH(tblTransactions[[#This Row],[Date]])/3,0)</f>
        <v>Q3</v>
      </c>
      <c r="V179">
        <f>MONTH(tblTransactions[[#This Row],[Date]])</f>
        <v>7</v>
      </c>
    </row>
    <row r="180" spans="1:22" x14ac:dyDescent="0.4">
      <c r="A180" t="s">
        <v>254</v>
      </c>
      <c r="B180" s="2">
        <v>46233</v>
      </c>
      <c r="C180">
        <v>2026</v>
      </c>
      <c r="D180" t="s">
        <v>23</v>
      </c>
      <c r="E180" t="s">
        <v>86</v>
      </c>
      <c r="F180" t="s">
        <v>25</v>
      </c>
      <c r="G180" t="s">
        <v>57</v>
      </c>
      <c r="H180" t="s">
        <v>40</v>
      </c>
      <c r="I180" t="s">
        <v>53</v>
      </c>
      <c r="J180" t="s">
        <v>111</v>
      </c>
      <c r="K180" t="s">
        <v>40</v>
      </c>
      <c r="L180" s="3">
        <v>11454</v>
      </c>
      <c r="M180" s="3">
        <v>17766</v>
      </c>
      <c r="N180" t="s">
        <v>54</v>
      </c>
      <c r="O180" t="s">
        <v>55</v>
      </c>
      <c r="P180" t="s">
        <v>32</v>
      </c>
      <c r="Q180" t="s">
        <v>34</v>
      </c>
      <c r="R180" t="s">
        <v>34</v>
      </c>
      <c r="S180" s="3">
        <v>-153213</v>
      </c>
      <c r="T180" t="str">
        <f>TEXT(tblTransactions[[#This Row],[Date]],"mmm")</f>
        <v>Jul</v>
      </c>
      <c r="U180" t="str">
        <f>"Q"&amp;ROUNDUP(MONTH(tblTransactions[[#This Row],[Date]])/3,0)</f>
        <v>Q3</v>
      </c>
      <c r="V180">
        <f>MONTH(tblTransactions[[#This Row],[Date]])</f>
        <v>7</v>
      </c>
    </row>
    <row r="181" spans="1:22" x14ac:dyDescent="0.4">
      <c r="A181" t="s">
        <v>255</v>
      </c>
      <c r="B181" s="2">
        <v>46234</v>
      </c>
      <c r="C181">
        <v>2026</v>
      </c>
      <c r="D181" t="s">
        <v>44</v>
      </c>
      <c r="E181" t="s">
        <v>36</v>
      </c>
      <c r="F181" t="s">
        <v>37</v>
      </c>
      <c r="G181" t="s">
        <v>93</v>
      </c>
      <c r="H181" t="s">
        <v>94</v>
      </c>
      <c r="I181" t="s">
        <v>44</v>
      </c>
      <c r="J181" t="s">
        <v>90</v>
      </c>
      <c r="K181" t="s">
        <v>94</v>
      </c>
      <c r="L181" s="3">
        <v>77810</v>
      </c>
      <c r="M181" s="3">
        <v>0</v>
      </c>
      <c r="N181" t="s">
        <v>41</v>
      </c>
      <c r="O181" t="s">
        <v>31</v>
      </c>
      <c r="P181" t="s">
        <v>32</v>
      </c>
      <c r="Q181" t="s">
        <v>34</v>
      </c>
      <c r="R181" t="s">
        <v>34</v>
      </c>
      <c r="S181" s="3">
        <v>-75403</v>
      </c>
      <c r="T181" t="str">
        <f>TEXT(tblTransactions[[#This Row],[Date]],"mmm")</f>
        <v>Jul</v>
      </c>
      <c r="U181" t="str">
        <f>"Q"&amp;ROUNDUP(MONTH(tblTransactions[[#This Row],[Date]])/3,0)</f>
        <v>Q3</v>
      </c>
      <c r="V181">
        <f>MONTH(tblTransactions[[#This Row],[Date]])</f>
        <v>7</v>
      </c>
    </row>
    <row r="182" spans="1:22" x14ac:dyDescent="0.4">
      <c r="A182" t="s">
        <v>256</v>
      </c>
      <c r="B182" s="2">
        <v>46235</v>
      </c>
      <c r="C182">
        <v>2026</v>
      </c>
      <c r="D182" t="s">
        <v>23</v>
      </c>
      <c r="E182" t="s">
        <v>86</v>
      </c>
      <c r="F182" t="s">
        <v>25</v>
      </c>
      <c r="G182" t="s">
        <v>98</v>
      </c>
      <c r="H182" t="s">
        <v>99</v>
      </c>
      <c r="I182" t="s">
        <v>58</v>
      </c>
      <c r="J182" t="s">
        <v>49</v>
      </c>
      <c r="K182" t="s">
        <v>99</v>
      </c>
      <c r="L182" s="3">
        <v>716</v>
      </c>
      <c r="M182" s="3">
        <v>4400</v>
      </c>
      <c r="N182" t="s">
        <v>54</v>
      </c>
      <c r="O182" t="s">
        <v>55</v>
      </c>
      <c r="P182" t="s">
        <v>32</v>
      </c>
      <c r="Q182" t="s">
        <v>34</v>
      </c>
      <c r="R182" t="s">
        <v>33</v>
      </c>
      <c r="S182" s="3">
        <v>-76119</v>
      </c>
      <c r="T182" t="str">
        <f>TEXT(tblTransactions[[#This Row],[Date]],"mmm")</f>
        <v>Aug</v>
      </c>
      <c r="U182" t="str">
        <f>"Q"&amp;ROUNDUP(MONTH(tblTransactions[[#This Row],[Date]])/3,0)</f>
        <v>Q3</v>
      </c>
      <c r="V182">
        <f>MONTH(tblTransactions[[#This Row],[Date]])</f>
        <v>8</v>
      </c>
    </row>
    <row r="183" spans="1:22" x14ac:dyDescent="0.4">
      <c r="A183" t="s">
        <v>257</v>
      </c>
      <c r="B183" s="2">
        <v>46236</v>
      </c>
      <c r="C183">
        <v>2026</v>
      </c>
      <c r="D183" t="s">
        <v>23</v>
      </c>
      <c r="E183" t="s">
        <v>86</v>
      </c>
      <c r="F183" t="s">
        <v>37</v>
      </c>
      <c r="G183" t="s">
        <v>38</v>
      </c>
      <c r="H183" t="s">
        <v>38</v>
      </c>
      <c r="I183" t="s">
        <v>44</v>
      </c>
      <c r="J183" t="s">
        <v>40</v>
      </c>
      <c r="K183" t="s">
        <v>38</v>
      </c>
      <c r="L183" s="3">
        <v>8410</v>
      </c>
      <c r="M183" s="3">
        <v>0</v>
      </c>
      <c r="N183" t="s">
        <v>41</v>
      </c>
      <c r="O183" t="s">
        <v>55</v>
      </c>
      <c r="P183" t="s">
        <v>32</v>
      </c>
      <c r="Q183" t="s">
        <v>34</v>
      </c>
      <c r="R183" t="s">
        <v>34</v>
      </c>
      <c r="S183" s="3">
        <v>-67709</v>
      </c>
      <c r="T183" t="str">
        <f>TEXT(tblTransactions[[#This Row],[Date]],"mmm")</f>
        <v>Aug</v>
      </c>
      <c r="U183" t="str">
        <f>"Q"&amp;ROUNDUP(MONTH(tblTransactions[[#This Row],[Date]])/3,0)</f>
        <v>Q3</v>
      </c>
      <c r="V183">
        <f>MONTH(tblTransactions[[#This Row],[Date]])</f>
        <v>8</v>
      </c>
    </row>
    <row r="184" spans="1:22" x14ac:dyDescent="0.4">
      <c r="A184" t="s">
        <v>258</v>
      </c>
      <c r="B184" s="2">
        <v>46237</v>
      </c>
      <c r="C184">
        <v>2026</v>
      </c>
      <c r="D184" t="s">
        <v>68</v>
      </c>
      <c r="E184" t="s">
        <v>45</v>
      </c>
      <c r="F184" t="s">
        <v>25</v>
      </c>
      <c r="G184" t="s">
        <v>57</v>
      </c>
      <c r="H184" t="s">
        <v>40</v>
      </c>
      <c r="I184" t="s">
        <v>39</v>
      </c>
      <c r="J184" t="s">
        <v>65</v>
      </c>
      <c r="K184" t="s">
        <v>40</v>
      </c>
      <c r="L184" s="3">
        <v>10277</v>
      </c>
      <c r="M184" s="3">
        <v>6627</v>
      </c>
      <c r="N184" t="s">
        <v>54</v>
      </c>
      <c r="O184" t="s">
        <v>55</v>
      </c>
      <c r="P184" t="s">
        <v>32</v>
      </c>
      <c r="Q184" t="s">
        <v>34</v>
      </c>
      <c r="R184" t="s">
        <v>34</v>
      </c>
      <c r="S184" s="3">
        <v>-77986</v>
      </c>
      <c r="T184" t="str">
        <f>TEXT(tblTransactions[[#This Row],[Date]],"mmm")</f>
        <v>Aug</v>
      </c>
      <c r="U184" t="str">
        <f>"Q"&amp;ROUNDUP(MONTH(tblTransactions[[#This Row],[Date]])/3,0)</f>
        <v>Q3</v>
      </c>
      <c r="V184">
        <f>MONTH(tblTransactions[[#This Row],[Date]])</f>
        <v>8</v>
      </c>
    </row>
    <row r="185" spans="1:22" x14ac:dyDescent="0.4">
      <c r="A185" t="s">
        <v>259</v>
      </c>
      <c r="B185" s="2">
        <v>46238</v>
      </c>
      <c r="C185">
        <v>2026</v>
      </c>
      <c r="D185" t="s">
        <v>44</v>
      </c>
      <c r="E185" t="s">
        <v>36</v>
      </c>
      <c r="F185" t="s">
        <v>37</v>
      </c>
      <c r="G185" t="s">
        <v>77</v>
      </c>
      <c r="H185" t="s">
        <v>78</v>
      </c>
      <c r="I185" t="s">
        <v>53</v>
      </c>
      <c r="J185" t="s">
        <v>59</v>
      </c>
      <c r="K185" t="s">
        <v>78</v>
      </c>
      <c r="L185" s="3">
        <v>23893</v>
      </c>
      <c r="M185" s="3">
        <v>0</v>
      </c>
      <c r="N185" t="s">
        <v>30</v>
      </c>
      <c r="O185" t="s">
        <v>50</v>
      </c>
      <c r="P185" t="s">
        <v>32</v>
      </c>
      <c r="Q185" t="s">
        <v>34</v>
      </c>
      <c r="R185" t="s">
        <v>33</v>
      </c>
      <c r="S185" s="3">
        <v>-54093</v>
      </c>
      <c r="T185" t="str">
        <f>TEXT(tblTransactions[[#This Row],[Date]],"mmm")</f>
        <v>Aug</v>
      </c>
      <c r="U185" t="str">
        <f>"Q"&amp;ROUNDUP(MONTH(tblTransactions[[#This Row],[Date]])/3,0)</f>
        <v>Q3</v>
      </c>
      <c r="V185">
        <f>MONTH(tblTransactions[[#This Row],[Date]])</f>
        <v>8</v>
      </c>
    </row>
    <row r="186" spans="1:22" x14ac:dyDescent="0.4">
      <c r="A186" t="s">
        <v>260</v>
      </c>
      <c r="B186" s="2">
        <v>46239</v>
      </c>
      <c r="C186">
        <v>2026</v>
      </c>
      <c r="D186" t="s">
        <v>68</v>
      </c>
      <c r="E186" t="s">
        <v>45</v>
      </c>
      <c r="F186" t="s">
        <v>25</v>
      </c>
      <c r="G186" t="s">
        <v>70</v>
      </c>
      <c r="H186" t="s">
        <v>71</v>
      </c>
      <c r="I186" t="s">
        <v>53</v>
      </c>
      <c r="J186" t="s">
        <v>59</v>
      </c>
      <c r="K186" t="s">
        <v>71</v>
      </c>
      <c r="L186" s="3">
        <v>585</v>
      </c>
      <c r="M186" s="3">
        <v>12286</v>
      </c>
      <c r="N186" t="s">
        <v>54</v>
      </c>
      <c r="O186" t="s">
        <v>50</v>
      </c>
      <c r="P186" t="s">
        <v>32</v>
      </c>
      <c r="Q186" t="s">
        <v>34</v>
      </c>
      <c r="R186" t="s">
        <v>34</v>
      </c>
      <c r="S186" s="3">
        <v>-54678</v>
      </c>
      <c r="T186" t="str">
        <f>TEXT(tblTransactions[[#This Row],[Date]],"mmm")</f>
        <v>Aug</v>
      </c>
      <c r="U186" t="str">
        <f>"Q"&amp;ROUNDUP(MONTH(tblTransactions[[#This Row],[Date]])/3,0)</f>
        <v>Q3</v>
      </c>
      <c r="V186">
        <f>MONTH(tblTransactions[[#This Row],[Date]])</f>
        <v>8</v>
      </c>
    </row>
    <row r="187" spans="1:22" x14ac:dyDescent="0.4">
      <c r="A187" t="s">
        <v>261</v>
      </c>
      <c r="B187" s="2">
        <v>46240</v>
      </c>
      <c r="C187">
        <v>2026</v>
      </c>
      <c r="D187" t="s">
        <v>23</v>
      </c>
      <c r="E187" t="s">
        <v>86</v>
      </c>
      <c r="F187" t="s">
        <v>25</v>
      </c>
      <c r="G187" t="s">
        <v>73</v>
      </c>
      <c r="H187" t="s">
        <v>74</v>
      </c>
      <c r="I187" t="s">
        <v>44</v>
      </c>
      <c r="J187" t="s">
        <v>74</v>
      </c>
      <c r="K187" t="s">
        <v>74</v>
      </c>
      <c r="L187" s="3">
        <v>12505</v>
      </c>
      <c r="M187" s="3">
        <v>13044</v>
      </c>
      <c r="N187" t="s">
        <v>41</v>
      </c>
      <c r="O187" t="s">
        <v>42</v>
      </c>
      <c r="P187" t="s">
        <v>32</v>
      </c>
      <c r="Q187" t="s">
        <v>33</v>
      </c>
      <c r="R187" t="s">
        <v>34</v>
      </c>
      <c r="S187" s="3">
        <v>-67183</v>
      </c>
      <c r="T187" t="str">
        <f>TEXT(tblTransactions[[#This Row],[Date]],"mmm")</f>
        <v>Aug</v>
      </c>
      <c r="U187" t="str">
        <f>"Q"&amp;ROUNDUP(MONTH(tblTransactions[[#This Row],[Date]])/3,0)</f>
        <v>Q3</v>
      </c>
      <c r="V187">
        <f>MONTH(tblTransactions[[#This Row],[Date]])</f>
        <v>8</v>
      </c>
    </row>
    <row r="188" spans="1:22" x14ac:dyDescent="0.4">
      <c r="A188" t="s">
        <v>262</v>
      </c>
      <c r="B188" s="2">
        <v>46241</v>
      </c>
      <c r="C188">
        <v>2026</v>
      </c>
      <c r="D188" t="s">
        <v>68</v>
      </c>
      <c r="E188" t="s">
        <v>86</v>
      </c>
      <c r="F188" t="s">
        <v>25</v>
      </c>
      <c r="G188" t="s">
        <v>46</v>
      </c>
      <c r="H188" t="s">
        <v>47</v>
      </c>
      <c r="I188" t="s">
        <v>39</v>
      </c>
      <c r="J188" t="s">
        <v>65</v>
      </c>
      <c r="K188" t="s">
        <v>47</v>
      </c>
      <c r="L188" s="3">
        <v>181</v>
      </c>
      <c r="M188" s="3">
        <v>2070</v>
      </c>
      <c r="N188" t="s">
        <v>30</v>
      </c>
      <c r="O188" t="s">
        <v>55</v>
      </c>
      <c r="P188" t="s">
        <v>32</v>
      </c>
      <c r="Q188" t="s">
        <v>34</v>
      </c>
      <c r="R188" t="s">
        <v>34</v>
      </c>
      <c r="S188" s="3">
        <v>-67364</v>
      </c>
      <c r="T188" t="str">
        <f>TEXT(tblTransactions[[#This Row],[Date]],"mmm")</f>
        <v>Aug</v>
      </c>
      <c r="U188" t="str">
        <f>"Q"&amp;ROUNDUP(MONTH(tblTransactions[[#This Row],[Date]])/3,0)</f>
        <v>Q3</v>
      </c>
      <c r="V188">
        <f>MONTH(tblTransactions[[#This Row],[Date]])</f>
        <v>8</v>
      </c>
    </row>
    <row r="189" spans="1:22" x14ac:dyDescent="0.4">
      <c r="A189" t="s">
        <v>263</v>
      </c>
      <c r="B189" s="2">
        <v>46242</v>
      </c>
      <c r="C189">
        <v>2026</v>
      </c>
      <c r="D189" t="s">
        <v>68</v>
      </c>
      <c r="E189" t="s">
        <v>24</v>
      </c>
      <c r="F189" t="s">
        <v>25</v>
      </c>
      <c r="G189" t="s">
        <v>73</v>
      </c>
      <c r="H189" t="s">
        <v>74</v>
      </c>
      <c r="I189" t="s">
        <v>28</v>
      </c>
      <c r="J189" t="s">
        <v>40</v>
      </c>
      <c r="K189" t="s">
        <v>74</v>
      </c>
      <c r="L189" s="3">
        <v>14256</v>
      </c>
      <c r="M189" s="3">
        <v>10005</v>
      </c>
      <c r="N189" t="s">
        <v>30</v>
      </c>
      <c r="O189" t="s">
        <v>50</v>
      </c>
      <c r="P189" t="s">
        <v>32</v>
      </c>
      <c r="Q189" t="s">
        <v>33</v>
      </c>
      <c r="R189" t="s">
        <v>34</v>
      </c>
      <c r="S189" s="3">
        <v>-81620</v>
      </c>
      <c r="T189" t="str">
        <f>TEXT(tblTransactions[[#This Row],[Date]],"mmm")</f>
        <v>Aug</v>
      </c>
      <c r="U189" t="str">
        <f>"Q"&amp;ROUNDUP(MONTH(tblTransactions[[#This Row],[Date]])/3,0)</f>
        <v>Q3</v>
      </c>
      <c r="V189">
        <f>MONTH(tblTransactions[[#This Row],[Date]])</f>
        <v>8</v>
      </c>
    </row>
    <row r="190" spans="1:22" x14ac:dyDescent="0.4">
      <c r="A190" t="s">
        <v>264</v>
      </c>
      <c r="B190" s="2">
        <v>46243</v>
      </c>
      <c r="C190">
        <v>2026</v>
      </c>
      <c r="D190" t="s">
        <v>23</v>
      </c>
      <c r="E190" t="s">
        <v>24</v>
      </c>
      <c r="F190" t="s">
        <v>25</v>
      </c>
      <c r="G190" t="s">
        <v>46</v>
      </c>
      <c r="H190" t="s">
        <v>47</v>
      </c>
      <c r="I190" t="s">
        <v>28</v>
      </c>
      <c r="J190" t="s">
        <v>74</v>
      </c>
      <c r="K190" t="s">
        <v>47</v>
      </c>
      <c r="L190" s="3">
        <v>19452</v>
      </c>
      <c r="M190" s="3">
        <v>9891</v>
      </c>
      <c r="N190" t="s">
        <v>60</v>
      </c>
      <c r="O190" t="s">
        <v>42</v>
      </c>
      <c r="P190" t="s">
        <v>32</v>
      </c>
      <c r="Q190" t="s">
        <v>33</v>
      </c>
      <c r="R190" t="s">
        <v>34</v>
      </c>
      <c r="S190" s="3">
        <v>-101072</v>
      </c>
      <c r="T190" t="str">
        <f>TEXT(tblTransactions[[#This Row],[Date]],"mmm")</f>
        <v>Aug</v>
      </c>
      <c r="U190" t="str">
        <f>"Q"&amp;ROUNDUP(MONTH(tblTransactions[[#This Row],[Date]])/3,0)</f>
        <v>Q3</v>
      </c>
      <c r="V190">
        <f>MONTH(tblTransactions[[#This Row],[Date]])</f>
        <v>8</v>
      </c>
    </row>
    <row r="191" spans="1:22" x14ac:dyDescent="0.4">
      <c r="A191" t="s">
        <v>265</v>
      </c>
      <c r="B191" s="2">
        <v>46244</v>
      </c>
      <c r="C191">
        <v>2026</v>
      </c>
      <c r="D191" t="s">
        <v>68</v>
      </c>
      <c r="E191" t="s">
        <v>86</v>
      </c>
      <c r="F191" t="s">
        <v>25</v>
      </c>
      <c r="G191" t="s">
        <v>73</v>
      </c>
      <c r="H191" t="s">
        <v>74</v>
      </c>
      <c r="I191" t="s">
        <v>48</v>
      </c>
      <c r="J191" t="s">
        <v>90</v>
      </c>
      <c r="K191" t="s">
        <v>74</v>
      </c>
      <c r="L191" s="3">
        <v>15678</v>
      </c>
      <c r="M191" s="3">
        <v>7153</v>
      </c>
      <c r="N191" t="s">
        <v>54</v>
      </c>
      <c r="O191" t="s">
        <v>50</v>
      </c>
      <c r="P191" t="s">
        <v>32</v>
      </c>
      <c r="Q191" t="s">
        <v>34</v>
      </c>
      <c r="R191" t="s">
        <v>34</v>
      </c>
      <c r="S191" s="3">
        <v>-116750</v>
      </c>
      <c r="T191" t="str">
        <f>TEXT(tblTransactions[[#This Row],[Date]],"mmm")</f>
        <v>Aug</v>
      </c>
      <c r="U191" t="str">
        <f>"Q"&amp;ROUNDUP(MONTH(tblTransactions[[#This Row],[Date]])/3,0)</f>
        <v>Q3</v>
      </c>
      <c r="V191">
        <f>MONTH(tblTransactions[[#This Row],[Date]])</f>
        <v>8</v>
      </c>
    </row>
    <row r="192" spans="1:22" x14ac:dyDescent="0.4">
      <c r="A192" t="s">
        <v>266</v>
      </c>
      <c r="B192" s="2">
        <v>46245</v>
      </c>
      <c r="C192">
        <v>2026</v>
      </c>
      <c r="D192" t="s">
        <v>23</v>
      </c>
      <c r="E192" t="s">
        <v>86</v>
      </c>
      <c r="F192" t="s">
        <v>25</v>
      </c>
      <c r="G192" t="s">
        <v>70</v>
      </c>
      <c r="H192" t="s">
        <v>71</v>
      </c>
      <c r="I192" t="s">
        <v>44</v>
      </c>
      <c r="J192" t="s">
        <v>84</v>
      </c>
      <c r="K192" t="s">
        <v>71</v>
      </c>
      <c r="L192" s="3">
        <v>3065</v>
      </c>
      <c r="M192" s="3">
        <v>19880</v>
      </c>
      <c r="N192" t="s">
        <v>60</v>
      </c>
      <c r="O192" t="s">
        <v>42</v>
      </c>
      <c r="P192" t="s">
        <v>32</v>
      </c>
      <c r="Q192" t="s">
        <v>34</v>
      </c>
      <c r="R192" t="s">
        <v>34</v>
      </c>
      <c r="S192" s="3">
        <v>-119815</v>
      </c>
      <c r="T192" t="str">
        <f>TEXT(tblTransactions[[#This Row],[Date]],"mmm")</f>
        <v>Aug</v>
      </c>
      <c r="U192" t="str">
        <f>"Q"&amp;ROUNDUP(MONTH(tblTransactions[[#This Row],[Date]])/3,0)</f>
        <v>Q3</v>
      </c>
      <c r="V192">
        <f>MONTH(tblTransactions[[#This Row],[Date]])</f>
        <v>8</v>
      </c>
    </row>
    <row r="193" spans="1:22" x14ac:dyDescent="0.4">
      <c r="A193" t="s">
        <v>267</v>
      </c>
      <c r="B193" s="2">
        <v>46246</v>
      </c>
      <c r="C193">
        <v>2026</v>
      </c>
      <c r="D193" t="s">
        <v>23</v>
      </c>
      <c r="E193" t="s">
        <v>24</v>
      </c>
      <c r="F193" t="s">
        <v>25</v>
      </c>
      <c r="G193" t="s">
        <v>98</v>
      </c>
      <c r="H193" t="s">
        <v>99</v>
      </c>
      <c r="I193" t="s">
        <v>39</v>
      </c>
      <c r="J193" t="s">
        <v>59</v>
      </c>
      <c r="K193" t="s">
        <v>99</v>
      </c>
      <c r="L193" s="3">
        <v>18002</v>
      </c>
      <c r="M193" s="3">
        <v>6293</v>
      </c>
      <c r="N193" t="s">
        <v>30</v>
      </c>
      <c r="O193" t="s">
        <v>50</v>
      </c>
      <c r="P193" t="s">
        <v>32</v>
      </c>
      <c r="Q193" t="s">
        <v>34</v>
      </c>
      <c r="R193" t="s">
        <v>34</v>
      </c>
      <c r="S193" s="3">
        <v>-137817</v>
      </c>
      <c r="T193" t="str">
        <f>TEXT(tblTransactions[[#This Row],[Date]],"mmm")</f>
        <v>Aug</v>
      </c>
      <c r="U193" t="str">
        <f>"Q"&amp;ROUNDUP(MONTH(tblTransactions[[#This Row],[Date]])/3,0)</f>
        <v>Q3</v>
      </c>
      <c r="V193">
        <f>MONTH(tblTransactions[[#This Row],[Date]])</f>
        <v>8</v>
      </c>
    </row>
    <row r="194" spans="1:22" x14ac:dyDescent="0.4">
      <c r="A194" t="s">
        <v>268</v>
      </c>
      <c r="B194" s="2">
        <v>46247</v>
      </c>
      <c r="C194">
        <v>2026</v>
      </c>
      <c r="D194" t="s">
        <v>44</v>
      </c>
      <c r="E194" t="s">
        <v>36</v>
      </c>
      <c r="F194" t="s">
        <v>25</v>
      </c>
      <c r="G194" t="s">
        <v>63</v>
      </c>
      <c r="H194" t="s">
        <v>64</v>
      </c>
      <c r="I194" t="s">
        <v>39</v>
      </c>
      <c r="J194" t="s">
        <v>111</v>
      </c>
      <c r="K194" t="s">
        <v>64</v>
      </c>
      <c r="L194" s="3">
        <v>14020</v>
      </c>
      <c r="M194" s="3">
        <v>16887</v>
      </c>
      <c r="N194" t="s">
        <v>60</v>
      </c>
      <c r="O194" t="s">
        <v>50</v>
      </c>
      <c r="P194" t="s">
        <v>32</v>
      </c>
      <c r="Q194" t="s">
        <v>33</v>
      </c>
      <c r="R194" t="s">
        <v>34</v>
      </c>
      <c r="S194" s="3">
        <v>-151837</v>
      </c>
      <c r="T194" t="str">
        <f>TEXT(tblTransactions[[#This Row],[Date]],"mmm")</f>
        <v>Aug</v>
      </c>
      <c r="U194" t="str">
        <f>"Q"&amp;ROUNDUP(MONTH(tblTransactions[[#This Row],[Date]])/3,0)</f>
        <v>Q3</v>
      </c>
      <c r="V194">
        <f>MONTH(tblTransactions[[#This Row],[Date]])</f>
        <v>8</v>
      </c>
    </row>
    <row r="195" spans="1:22" x14ac:dyDescent="0.4">
      <c r="A195" t="s">
        <v>269</v>
      </c>
      <c r="B195" s="2">
        <v>46248</v>
      </c>
      <c r="C195">
        <v>2026</v>
      </c>
      <c r="D195" t="s">
        <v>44</v>
      </c>
      <c r="E195" t="s">
        <v>86</v>
      </c>
      <c r="F195" t="s">
        <v>25</v>
      </c>
      <c r="G195" t="s">
        <v>57</v>
      </c>
      <c r="H195" t="s">
        <v>40</v>
      </c>
      <c r="I195" t="s">
        <v>28</v>
      </c>
      <c r="J195" t="s">
        <v>74</v>
      </c>
      <c r="K195" t="s">
        <v>40</v>
      </c>
      <c r="L195" s="3">
        <v>19650</v>
      </c>
      <c r="M195" s="3">
        <v>17206</v>
      </c>
      <c r="N195" t="s">
        <v>54</v>
      </c>
      <c r="O195" t="s">
        <v>55</v>
      </c>
      <c r="P195" t="s">
        <v>32</v>
      </c>
      <c r="Q195" t="s">
        <v>33</v>
      </c>
      <c r="R195" t="s">
        <v>34</v>
      </c>
      <c r="S195" s="3">
        <v>-171487</v>
      </c>
      <c r="T195" t="str">
        <f>TEXT(tblTransactions[[#This Row],[Date]],"mmm")</f>
        <v>Aug</v>
      </c>
      <c r="U195" t="str">
        <f>"Q"&amp;ROUNDUP(MONTH(tblTransactions[[#This Row],[Date]])/3,0)</f>
        <v>Q3</v>
      </c>
      <c r="V195">
        <f>MONTH(tblTransactions[[#This Row],[Date]])</f>
        <v>8</v>
      </c>
    </row>
    <row r="196" spans="1:22" x14ac:dyDescent="0.4">
      <c r="A196" t="s">
        <v>270</v>
      </c>
      <c r="B196" s="2">
        <v>46249</v>
      </c>
      <c r="C196">
        <v>2026</v>
      </c>
      <c r="D196" t="s">
        <v>44</v>
      </c>
      <c r="E196" t="s">
        <v>45</v>
      </c>
      <c r="F196" t="s">
        <v>25</v>
      </c>
      <c r="G196" t="s">
        <v>57</v>
      </c>
      <c r="H196" t="s">
        <v>40</v>
      </c>
      <c r="I196" t="s">
        <v>48</v>
      </c>
      <c r="J196" t="s">
        <v>40</v>
      </c>
      <c r="K196" t="s">
        <v>40</v>
      </c>
      <c r="L196" s="3">
        <v>3128</v>
      </c>
      <c r="M196" s="3">
        <v>4022</v>
      </c>
      <c r="N196" t="s">
        <v>41</v>
      </c>
      <c r="O196" t="s">
        <v>42</v>
      </c>
      <c r="P196" t="s">
        <v>32</v>
      </c>
      <c r="Q196" t="s">
        <v>34</v>
      </c>
      <c r="R196" t="s">
        <v>34</v>
      </c>
      <c r="S196" s="3">
        <v>-174615</v>
      </c>
      <c r="T196" t="str">
        <f>TEXT(tblTransactions[[#This Row],[Date]],"mmm")</f>
        <v>Aug</v>
      </c>
      <c r="U196" t="str">
        <f>"Q"&amp;ROUNDUP(MONTH(tblTransactions[[#This Row],[Date]])/3,0)</f>
        <v>Q3</v>
      </c>
      <c r="V196">
        <f>MONTH(tblTransactions[[#This Row],[Date]])</f>
        <v>8</v>
      </c>
    </row>
    <row r="197" spans="1:22" x14ac:dyDescent="0.4">
      <c r="A197" t="s">
        <v>271</v>
      </c>
      <c r="B197" s="2">
        <v>46250</v>
      </c>
      <c r="C197">
        <v>2026</v>
      </c>
      <c r="D197" t="s">
        <v>68</v>
      </c>
      <c r="E197" t="s">
        <v>24</v>
      </c>
      <c r="F197" t="s">
        <v>25</v>
      </c>
      <c r="G197" t="s">
        <v>46</v>
      </c>
      <c r="H197" t="s">
        <v>47</v>
      </c>
      <c r="I197" t="s">
        <v>44</v>
      </c>
      <c r="J197" t="s">
        <v>65</v>
      </c>
      <c r="K197" t="s">
        <v>47</v>
      </c>
      <c r="L197" s="3">
        <v>12548</v>
      </c>
      <c r="M197" s="3">
        <v>18381</v>
      </c>
      <c r="N197" t="s">
        <v>60</v>
      </c>
      <c r="O197" t="s">
        <v>31</v>
      </c>
      <c r="P197" t="s">
        <v>32</v>
      </c>
      <c r="Q197" t="s">
        <v>34</v>
      </c>
      <c r="R197" t="s">
        <v>34</v>
      </c>
      <c r="S197" s="3">
        <v>-187163</v>
      </c>
      <c r="T197" t="str">
        <f>TEXT(tblTransactions[[#This Row],[Date]],"mmm")</f>
        <v>Aug</v>
      </c>
      <c r="U197" t="str">
        <f>"Q"&amp;ROUNDUP(MONTH(tblTransactions[[#This Row],[Date]])/3,0)</f>
        <v>Q3</v>
      </c>
      <c r="V197">
        <f>MONTH(tblTransactions[[#This Row],[Date]])</f>
        <v>8</v>
      </c>
    </row>
    <row r="198" spans="1:22" x14ac:dyDescent="0.4">
      <c r="A198" t="s">
        <v>272</v>
      </c>
      <c r="B198" s="2">
        <v>46251</v>
      </c>
      <c r="C198">
        <v>2026</v>
      </c>
      <c r="D198" t="s">
        <v>44</v>
      </c>
      <c r="E198" t="s">
        <v>86</v>
      </c>
      <c r="F198" t="s">
        <v>37</v>
      </c>
      <c r="G198" t="s">
        <v>38</v>
      </c>
      <c r="H198" t="s">
        <v>38</v>
      </c>
      <c r="I198" t="s">
        <v>53</v>
      </c>
      <c r="J198" t="s">
        <v>65</v>
      </c>
      <c r="K198" t="s">
        <v>38</v>
      </c>
      <c r="L198" s="3">
        <v>15784</v>
      </c>
      <c r="M198" s="3">
        <v>0</v>
      </c>
      <c r="N198" t="s">
        <v>60</v>
      </c>
      <c r="O198" t="s">
        <v>42</v>
      </c>
      <c r="P198" t="s">
        <v>32</v>
      </c>
      <c r="Q198" t="s">
        <v>33</v>
      </c>
      <c r="R198" t="s">
        <v>34</v>
      </c>
      <c r="S198" s="3">
        <v>-171379</v>
      </c>
      <c r="T198" t="str">
        <f>TEXT(tblTransactions[[#This Row],[Date]],"mmm")</f>
        <v>Aug</v>
      </c>
      <c r="U198" t="str">
        <f>"Q"&amp;ROUNDUP(MONTH(tblTransactions[[#This Row],[Date]])/3,0)</f>
        <v>Q3</v>
      </c>
      <c r="V198">
        <f>MONTH(tblTransactions[[#This Row],[Date]])</f>
        <v>8</v>
      </c>
    </row>
    <row r="199" spans="1:22" x14ac:dyDescent="0.4">
      <c r="A199" t="s">
        <v>273</v>
      </c>
      <c r="B199" s="2">
        <v>46252</v>
      </c>
      <c r="C199">
        <v>2026</v>
      </c>
      <c r="D199" t="s">
        <v>68</v>
      </c>
      <c r="E199" t="s">
        <v>45</v>
      </c>
      <c r="F199" t="s">
        <v>25</v>
      </c>
      <c r="G199" t="s">
        <v>57</v>
      </c>
      <c r="H199" t="s">
        <v>40</v>
      </c>
      <c r="I199" t="s">
        <v>48</v>
      </c>
      <c r="J199" t="s">
        <v>65</v>
      </c>
      <c r="K199" t="s">
        <v>40</v>
      </c>
      <c r="L199" s="3">
        <v>9798</v>
      </c>
      <c r="M199" s="3">
        <v>10403</v>
      </c>
      <c r="N199" t="s">
        <v>54</v>
      </c>
      <c r="O199" t="s">
        <v>31</v>
      </c>
      <c r="P199" t="s">
        <v>32</v>
      </c>
      <c r="Q199" t="s">
        <v>34</v>
      </c>
      <c r="R199" t="s">
        <v>34</v>
      </c>
      <c r="S199" s="3">
        <v>-181177</v>
      </c>
      <c r="T199" t="str">
        <f>TEXT(tblTransactions[[#This Row],[Date]],"mmm")</f>
        <v>Aug</v>
      </c>
      <c r="U199" t="str">
        <f>"Q"&amp;ROUNDUP(MONTH(tblTransactions[[#This Row],[Date]])/3,0)</f>
        <v>Q3</v>
      </c>
      <c r="V199">
        <f>MONTH(tblTransactions[[#This Row],[Date]])</f>
        <v>8</v>
      </c>
    </row>
    <row r="200" spans="1:22" x14ac:dyDescent="0.4">
      <c r="A200" t="s">
        <v>274</v>
      </c>
      <c r="B200" s="2">
        <v>46253</v>
      </c>
      <c r="C200">
        <v>2026</v>
      </c>
      <c r="D200" t="s">
        <v>23</v>
      </c>
      <c r="E200" t="s">
        <v>36</v>
      </c>
      <c r="F200" t="s">
        <v>25</v>
      </c>
      <c r="G200" t="s">
        <v>70</v>
      </c>
      <c r="H200" t="s">
        <v>71</v>
      </c>
      <c r="I200" t="s">
        <v>58</v>
      </c>
      <c r="J200" t="s">
        <v>111</v>
      </c>
      <c r="K200" t="s">
        <v>71</v>
      </c>
      <c r="L200" s="3">
        <v>12805</v>
      </c>
      <c r="M200" s="3">
        <v>2731</v>
      </c>
      <c r="N200" t="s">
        <v>41</v>
      </c>
      <c r="O200" t="s">
        <v>55</v>
      </c>
      <c r="P200" t="s">
        <v>32</v>
      </c>
      <c r="Q200" t="s">
        <v>33</v>
      </c>
      <c r="R200" t="s">
        <v>34</v>
      </c>
      <c r="S200" s="3">
        <v>-193982</v>
      </c>
      <c r="T200" t="str">
        <f>TEXT(tblTransactions[[#This Row],[Date]],"mmm")</f>
        <v>Aug</v>
      </c>
      <c r="U200" t="str">
        <f>"Q"&amp;ROUNDUP(MONTH(tblTransactions[[#This Row],[Date]])/3,0)</f>
        <v>Q3</v>
      </c>
      <c r="V200">
        <f>MONTH(tblTransactions[[#This Row],[Date]])</f>
        <v>8</v>
      </c>
    </row>
    <row r="201" spans="1:22" x14ac:dyDescent="0.4">
      <c r="A201" t="s">
        <v>275</v>
      </c>
      <c r="B201" s="2">
        <v>46254</v>
      </c>
      <c r="C201">
        <v>2026</v>
      </c>
      <c r="D201" t="s">
        <v>44</v>
      </c>
      <c r="E201" t="s">
        <v>86</v>
      </c>
      <c r="F201" t="s">
        <v>25</v>
      </c>
      <c r="G201" t="s">
        <v>63</v>
      </c>
      <c r="H201" t="s">
        <v>64</v>
      </c>
      <c r="I201" t="s">
        <v>28</v>
      </c>
      <c r="J201" t="s">
        <v>65</v>
      </c>
      <c r="K201" t="s">
        <v>64</v>
      </c>
      <c r="L201" s="3">
        <v>868</v>
      </c>
      <c r="M201" s="3">
        <v>17590</v>
      </c>
      <c r="N201" t="s">
        <v>60</v>
      </c>
      <c r="O201" t="s">
        <v>42</v>
      </c>
      <c r="P201" t="s">
        <v>32</v>
      </c>
      <c r="Q201" t="s">
        <v>34</v>
      </c>
      <c r="R201" t="s">
        <v>34</v>
      </c>
      <c r="S201" s="3">
        <v>-194850</v>
      </c>
      <c r="T201" t="str">
        <f>TEXT(tblTransactions[[#This Row],[Date]],"mmm")</f>
        <v>Aug</v>
      </c>
      <c r="U201" t="str">
        <f>"Q"&amp;ROUNDUP(MONTH(tblTransactions[[#This Row],[Date]])/3,0)</f>
        <v>Q3</v>
      </c>
      <c r="V201">
        <f>MONTH(tblTransactions[[#This Row],[Date]])</f>
        <v>8</v>
      </c>
    </row>
    <row r="202" spans="1:22" x14ac:dyDescent="0.4">
      <c r="A202" t="s">
        <v>276</v>
      </c>
      <c r="B202" s="2">
        <v>46255</v>
      </c>
      <c r="C202">
        <v>2026</v>
      </c>
      <c r="D202" t="s">
        <v>23</v>
      </c>
      <c r="E202" t="s">
        <v>45</v>
      </c>
      <c r="F202" t="s">
        <v>25</v>
      </c>
      <c r="G202" t="s">
        <v>70</v>
      </c>
      <c r="H202" t="s">
        <v>71</v>
      </c>
      <c r="I202" t="s">
        <v>44</v>
      </c>
      <c r="J202" t="s">
        <v>59</v>
      </c>
      <c r="K202" t="s">
        <v>71</v>
      </c>
      <c r="L202" s="3">
        <v>1071</v>
      </c>
      <c r="M202" s="3">
        <v>16426</v>
      </c>
      <c r="N202" t="s">
        <v>30</v>
      </c>
      <c r="O202" t="s">
        <v>50</v>
      </c>
      <c r="P202" t="s">
        <v>32</v>
      </c>
      <c r="Q202" t="s">
        <v>33</v>
      </c>
      <c r="R202" t="s">
        <v>34</v>
      </c>
      <c r="S202" s="3">
        <v>-195921</v>
      </c>
      <c r="T202" t="str">
        <f>TEXT(tblTransactions[[#This Row],[Date]],"mmm")</f>
        <v>Aug</v>
      </c>
      <c r="U202" t="str">
        <f>"Q"&amp;ROUNDUP(MONTH(tblTransactions[[#This Row],[Date]])/3,0)</f>
        <v>Q3</v>
      </c>
      <c r="V202">
        <f>MONTH(tblTransactions[[#This Row],[Date]])</f>
        <v>8</v>
      </c>
    </row>
    <row r="203" spans="1:22" x14ac:dyDescent="0.4">
      <c r="A203" t="s">
        <v>277</v>
      </c>
      <c r="B203" s="2">
        <v>46256</v>
      </c>
      <c r="C203">
        <v>2026</v>
      </c>
      <c r="D203" t="s">
        <v>68</v>
      </c>
      <c r="E203" t="s">
        <v>45</v>
      </c>
      <c r="F203" t="s">
        <v>25</v>
      </c>
      <c r="G203" t="s">
        <v>70</v>
      </c>
      <c r="H203" t="s">
        <v>71</v>
      </c>
      <c r="I203" t="s">
        <v>44</v>
      </c>
      <c r="J203" t="s">
        <v>90</v>
      </c>
      <c r="K203" t="s">
        <v>71</v>
      </c>
      <c r="L203" s="3">
        <v>1199</v>
      </c>
      <c r="M203" s="3">
        <v>6529</v>
      </c>
      <c r="N203" t="s">
        <v>60</v>
      </c>
      <c r="O203" t="s">
        <v>31</v>
      </c>
      <c r="P203" t="s">
        <v>32</v>
      </c>
      <c r="Q203" t="s">
        <v>34</v>
      </c>
      <c r="R203" t="s">
        <v>34</v>
      </c>
      <c r="S203" s="3">
        <v>-197120</v>
      </c>
      <c r="T203" t="str">
        <f>TEXT(tblTransactions[[#This Row],[Date]],"mmm")</f>
        <v>Aug</v>
      </c>
      <c r="U203" t="str">
        <f>"Q"&amp;ROUNDUP(MONTH(tblTransactions[[#This Row],[Date]])/3,0)</f>
        <v>Q3</v>
      </c>
      <c r="V203">
        <f>MONTH(tblTransactions[[#This Row],[Date]])</f>
        <v>8</v>
      </c>
    </row>
    <row r="204" spans="1:22" x14ac:dyDescent="0.4">
      <c r="A204" t="s">
        <v>278</v>
      </c>
      <c r="B204" s="2">
        <v>46257</v>
      </c>
      <c r="C204">
        <v>2026</v>
      </c>
      <c r="D204" t="s">
        <v>23</v>
      </c>
      <c r="E204" t="s">
        <v>36</v>
      </c>
      <c r="F204" t="s">
        <v>25</v>
      </c>
      <c r="G204" t="s">
        <v>104</v>
      </c>
      <c r="H204" t="s">
        <v>105</v>
      </c>
      <c r="I204" t="s">
        <v>58</v>
      </c>
      <c r="J204" t="s">
        <v>111</v>
      </c>
      <c r="K204" t="s">
        <v>105</v>
      </c>
      <c r="L204" s="3">
        <v>13212</v>
      </c>
      <c r="M204" s="3">
        <v>13730</v>
      </c>
      <c r="N204" t="s">
        <v>60</v>
      </c>
      <c r="O204" t="s">
        <v>31</v>
      </c>
      <c r="P204" t="s">
        <v>32</v>
      </c>
      <c r="Q204" t="s">
        <v>34</v>
      </c>
      <c r="R204" t="s">
        <v>34</v>
      </c>
      <c r="S204" s="3">
        <v>-210332</v>
      </c>
      <c r="T204" t="str">
        <f>TEXT(tblTransactions[[#This Row],[Date]],"mmm")</f>
        <v>Aug</v>
      </c>
      <c r="U204" t="str">
        <f>"Q"&amp;ROUNDUP(MONTH(tblTransactions[[#This Row],[Date]])/3,0)</f>
        <v>Q3</v>
      </c>
      <c r="V204">
        <f>MONTH(tblTransactions[[#This Row],[Date]])</f>
        <v>8</v>
      </c>
    </row>
    <row r="205" spans="1:22" x14ac:dyDescent="0.4">
      <c r="A205" t="s">
        <v>279</v>
      </c>
      <c r="B205" s="2">
        <v>46258</v>
      </c>
      <c r="C205">
        <v>2026</v>
      </c>
      <c r="D205" t="s">
        <v>23</v>
      </c>
      <c r="E205" t="s">
        <v>24</v>
      </c>
      <c r="F205" t="s">
        <v>25</v>
      </c>
      <c r="G205" t="s">
        <v>73</v>
      </c>
      <c r="H205" t="s">
        <v>74</v>
      </c>
      <c r="I205" t="s">
        <v>58</v>
      </c>
      <c r="J205" t="s">
        <v>90</v>
      </c>
      <c r="K205" t="s">
        <v>74</v>
      </c>
      <c r="L205" s="3">
        <v>4475</v>
      </c>
      <c r="M205" s="3">
        <v>11706</v>
      </c>
      <c r="N205" t="s">
        <v>41</v>
      </c>
      <c r="O205" t="s">
        <v>31</v>
      </c>
      <c r="P205" t="s">
        <v>32</v>
      </c>
      <c r="Q205" t="s">
        <v>34</v>
      </c>
      <c r="R205" t="s">
        <v>34</v>
      </c>
      <c r="S205" s="3">
        <v>-214807</v>
      </c>
      <c r="T205" t="str">
        <f>TEXT(tblTransactions[[#This Row],[Date]],"mmm")</f>
        <v>Aug</v>
      </c>
      <c r="U205" t="str">
        <f>"Q"&amp;ROUNDUP(MONTH(tblTransactions[[#This Row],[Date]])/3,0)</f>
        <v>Q3</v>
      </c>
      <c r="V205">
        <f>MONTH(tblTransactions[[#This Row],[Date]])</f>
        <v>8</v>
      </c>
    </row>
    <row r="206" spans="1:22" x14ac:dyDescent="0.4">
      <c r="A206" t="s">
        <v>280</v>
      </c>
      <c r="B206" s="2">
        <v>46259</v>
      </c>
      <c r="C206">
        <v>2026</v>
      </c>
      <c r="D206" t="s">
        <v>23</v>
      </c>
      <c r="E206" t="s">
        <v>86</v>
      </c>
      <c r="F206" t="s">
        <v>37</v>
      </c>
      <c r="G206" t="s">
        <v>38</v>
      </c>
      <c r="H206" t="s">
        <v>38</v>
      </c>
      <c r="I206" t="s">
        <v>58</v>
      </c>
      <c r="J206" t="s">
        <v>90</v>
      </c>
      <c r="K206" t="s">
        <v>38</v>
      </c>
      <c r="L206" s="3">
        <v>64480</v>
      </c>
      <c r="M206" s="3">
        <v>0</v>
      </c>
      <c r="N206" t="s">
        <v>60</v>
      </c>
      <c r="O206" t="s">
        <v>50</v>
      </c>
      <c r="P206" t="s">
        <v>32</v>
      </c>
      <c r="Q206" t="s">
        <v>33</v>
      </c>
      <c r="R206" t="s">
        <v>34</v>
      </c>
      <c r="S206" s="3">
        <v>-150327</v>
      </c>
      <c r="T206" t="str">
        <f>TEXT(tblTransactions[[#This Row],[Date]],"mmm")</f>
        <v>Aug</v>
      </c>
      <c r="U206" t="str">
        <f>"Q"&amp;ROUNDUP(MONTH(tblTransactions[[#This Row],[Date]])/3,0)</f>
        <v>Q3</v>
      </c>
      <c r="V206">
        <f>MONTH(tblTransactions[[#This Row],[Date]])</f>
        <v>8</v>
      </c>
    </row>
    <row r="207" spans="1:22" x14ac:dyDescent="0.4">
      <c r="A207" t="s">
        <v>281</v>
      </c>
      <c r="B207" s="2">
        <v>46260</v>
      </c>
      <c r="C207">
        <v>2026</v>
      </c>
      <c r="D207" t="s">
        <v>44</v>
      </c>
      <c r="E207" t="s">
        <v>86</v>
      </c>
      <c r="F207" t="s">
        <v>25</v>
      </c>
      <c r="G207" t="s">
        <v>70</v>
      </c>
      <c r="H207" t="s">
        <v>71</v>
      </c>
      <c r="I207" t="s">
        <v>44</v>
      </c>
      <c r="J207" t="s">
        <v>40</v>
      </c>
      <c r="K207" t="s">
        <v>71</v>
      </c>
      <c r="L207" s="3">
        <v>2867</v>
      </c>
      <c r="M207" s="3">
        <v>14879</v>
      </c>
      <c r="N207" t="s">
        <v>54</v>
      </c>
      <c r="O207" t="s">
        <v>50</v>
      </c>
      <c r="P207" t="s">
        <v>32</v>
      </c>
      <c r="Q207" t="s">
        <v>33</v>
      </c>
      <c r="R207" t="s">
        <v>33</v>
      </c>
      <c r="S207" s="3">
        <v>-153194</v>
      </c>
      <c r="T207" t="str">
        <f>TEXT(tblTransactions[[#This Row],[Date]],"mmm")</f>
        <v>Aug</v>
      </c>
      <c r="U207" t="str">
        <f>"Q"&amp;ROUNDUP(MONTH(tblTransactions[[#This Row],[Date]])/3,0)</f>
        <v>Q3</v>
      </c>
      <c r="V207">
        <f>MONTH(tblTransactions[[#This Row],[Date]])</f>
        <v>8</v>
      </c>
    </row>
    <row r="208" spans="1:22" x14ac:dyDescent="0.4">
      <c r="A208" t="s">
        <v>282</v>
      </c>
      <c r="B208" s="2">
        <v>46261</v>
      </c>
      <c r="C208">
        <v>2026</v>
      </c>
      <c r="D208" t="s">
        <v>68</v>
      </c>
      <c r="E208" t="s">
        <v>36</v>
      </c>
      <c r="F208" t="s">
        <v>25</v>
      </c>
      <c r="G208" t="s">
        <v>63</v>
      </c>
      <c r="H208" t="s">
        <v>64</v>
      </c>
      <c r="I208" t="s">
        <v>39</v>
      </c>
      <c r="J208" t="s">
        <v>74</v>
      </c>
      <c r="K208" t="s">
        <v>64</v>
      </c>
      <c r="L208" s="3">
        <v>947</v>
      </c>
      <c r="M208" s="3">
        <v>2784</v>
      </c>
      <c r="N208" t="s">
        <v>54</v>
      </c>
      <c r="O208" t="s">
        <v>50</v>
      </c>
      <c r="P208" t="s">
        <v>32</v>
      </c>
      <c r="Q208" t="s">
        <v>34</v>
      </c>
      <c r="R208" t="s">
        <v>33</v>
      </c>
      <c r="S208" s="3">
        <v>-154141</v>
      </c>
      <c r="T208" t="str">
        <f>TEXT(tblTransactions[[#This Row],[Date]],"mmm")</f>
        <v>Aug</v>
      </c>
      <c r="U208" t="str">
        <f>"Q"&amp;ROUNDUP(MONTH(tblTransactions[[#This Row],[Date]])/3,0)</f>
        <v>Q3</v>
      </c>
      <c r="V208">
        <f>MONTH(tblTransactions[[#This Row],[Date]])</f>
        <v>8</v>
      </c>
    </row>
    <row r="209" spans="1:22" x14ac:dyDescent="0.4">
      <c r="A209" t="s">
        <v>283</v>
      </c>
      <c r="B209" s="2">
        <v>46262</v>
      </c>
      <c r="C209">
        <v>2026</v>
      </c>
      <c r="D209" t="s">
        <v>23</v>
      </c>
      <c r="E209" t="s">
        <v>86</v>
      </c>
      <c r="F209" t="s">
        <v>25</v>
      </c>
      <c r="G209" t="s">
        <v>98</v>
      </c>
      <c r="H209" t="s">
        <v>99</v>
      </c>
      <c r="I209" t="s">
        <v>53</v>
      </c>
      <c r="J209" t="s">
        <v>74</v>
      </c>
      <c r="K209" t="s">
        <v>99</v>
      </c>
      <c r="L209" s="3">
        <v>18587</v>
      </c>
      <c r="M209" s="3">
        <v>5672</v>
      </c>
      <c r="N209" t="s">
        <v>41</v>
      </c>
      <c r="O209" t="s">
        <v>55</v>
      </c>
      <c r="P209" t="s">
        <v>32</v>
      </c>
      <c r="Q209" t="s">
        <v>33</v>
      </c>
      <c r="R209" t="s">
        <v>34</v>
      </c>
      <c r="S209" s="3">
        <v>-172728</v>
      </c>
      <c r="T209" t="str">
        <f>TEXT(tblTransactions[[#This Row],[Date]],"mmm")</f>
        <v>Aug</v>
      </c>
      <c r="U209" t="str">
        <f>"Q"&amp;ROUNDUP(MONTH(tblTransactions[[#This Row],[Date]])/3,0)</f>
        <v>Q3</v>
      </c>
      <c r="V209">
        <f>MONTH(tblTransactions[[#This Row],[Date]])</f>
        <v>8</v>
      </c>
    </row>
    <row r="210" spans="1:22" x14ac:dyDescent="0.4">
      <c r="A210" t="s">
        <v>284</v>
      </c>
      <c r="B210" s="2">
        <v>46264</v>
      </c>
      <c r="C210">
        <v>2026</v>
      </c>
      <c r="D210" t="s">
        <v>68</v>
      </c>
      <c r="E210" t="s">
        <v>36</v>
      </c>
      <c r="F210" t="s">
        <v>37</v>
      </c>
      <c r="G210" t="s">
        <v>38</v>
      </c>
      <c r="H210" t="s">
        <v>38</v>
      </c>
      <c r="I210" t="s">
        <v>48</v>
      </c>
      <c r="J210" t="s">
        <v>74</v>
      </c>
      <c r="K210" t="s">
        <v>38</v>
      </c>
      <c r="L210" s="3">
        <v>5080</v>
      </c>
      <c r="M210" s="3">
        <v>0</v>
      </c>
      <c r="N210" t="s">
        <v>54</v>
      </c>
      <c r="O210" t="s">
        <v>50</v>
      </c>
      <c r="P210" t="s">
        <v>32</v>
      </c>
      <c r="Q210" t="s">
        <v>34</v>
      </c>
      <c r="R210" t="s">
        <v>34</v>
      </c>
      <c r="S210" s="3">
        <v>-167648</v>
      </c>
      <c r="T210" t="str">
        <f>TEXT(tblTransactions[[#This Row],[Date]],"mmm")</f>
        <v>Aug</v>
      </c>
      <c r="U210" t="str">
        <f>"Q"&amp;ROUNDUP(MONTH(tblTransactions[[#This Row],[Date]])/3,0)</f>
        <v>Q3</v>
      </c>
      <c r="V210">
        <f>MONTH(tblTransactions[[#This Row],[Date]])</f>
        <v>8</v>
      </c>
    </row>
    <row r="211" spans="1:22" x14ac:dyDescent="0.4">
      <c r="A211" t="s">
        <v>285</v>
      </c>
      <c r="B211" s="2">
        <v>46265</v>
      </c>
      <c r="C211">
        <v>2026</v>
      </c>
      <c r="D211" t="s">
        <v>23</v>
      </c>
      <c r="E211" t="s">
        <v>36</v>
      </c>
      <c r="F211" t="s">
        <v>25</v>
      </c>
      <c r="G211" t="s">
        <v>46</v>
      </c>
      <c r="H211" t="s">
        <v>47</v>
      </c>
      <c r="I211" t="s">
        <v>53</v>
      </c>
      <c r="J211" t="s">
        <v>40</v>
      </c>
      <c r="K211" t="s">
        <v>47</v>
      </c>
      <c r="L211" s="3">
        <v>12882</v>
      </c>
      <c r="M211" s="3">
        <v>4945</v>
      </c>
      <c r="N211" t="s">
        <v>54</v>
      </c>
      <c r="O211" t="s">
        <v>31</v>
      </c>
      <c r="P211" t="s">
        <v>32</v>
      </c>
      <c r="Q211" t="s">
        <v>34</v>
      </c>
      <c r="R211" t="s">
        <v>34</v>
      </c>
      <c r="S211" s="3">
        <v>-180530</v>
      </c>
      <c r="T211" t="str">
        <f>TEXT(tblTransactions[[#This Row],[Date]],"mmm")</f>
        <v>Aug</v>
      </c>
      <c r="U211" t="str">
        <f>"Q"&amp;ROUNDUP(MONTH(tblTransactions[[#This Row],[Date]])/3,0)</f>
        <v>Q3</v>
      </c>
      <c r="V211">
        <f>MONTH(tblTransactions[[#This Row],[Date]])</f>
        <v>8</v>
      </c>
    </row>
    <row r="212" spans="1:22" x14ac:dyDescent="0.4">
      <c r="A212" t="s">
        <v>286</v>
      </c>
      <c r="B212" s="2">
        <v>46266</v>
      </c>
      <c r="C212">
        <v>2026</v>
      </c>
      <c r="D212" t="s">
        <v>44</v>
      </c>
      <c r="E212" t="s">
        <v>45</v>
      </c>
      <c r="F212" t="s">
        <v>25</v>
      </c>
      <c r="G212" t="s">
        <v>70</v>
      </c>
      <c r="H212" t="s">
        <v>71</v>
      </c>
      <c r="I212" t="s">
        <v>58</v>
      </c>
      <c r="J212" t="s">
        <v>74</v>
      </c>
      <c r="K212" t="s">
        <v>71</v>
      </c>
      <c r="L212" s="3">
        <v>11102</v>
      </c>
      <c r="M212" s="3">
        <v>16235</v>
      </c>
      <c r="N212" t="s">
        <v>30</v>
      </c>
      <c r="O212" t="s">
        <v>31</v>
      </c>
      <c r="P212" t="s">
        <v>32</v>
      </c>
      <c r="Q212" t="s">
        <v>34</v>
      </c>
      <c r="R212" t="s">
        <v>34</v>
      </c>
      <c r="S212" s="3">
        <v>-191632</v>
      </c>
      <c r="T212" t="str">
        <f>TEXT(tblTransactions[[#This Row],[Date]],"mmm")</f>
        <v>Sep</v>
      </c>
      <c r="U212" t="str">
        <f>"Q"&amp;ROUNDUP(MONTH(tblTransactions[[#This Row],[Date]])/3,0)</f>
        <v>Q3</v>
      </c>
      <c r="V212">
        <f>MONTH(tblTransactions[[#This Row],[Date]])</f>
        <v>9</v>
      </c>
    </row>
    <row r="213" spans="1:22" x14ac:dyDescent="0.4">
      <c r="A213" t="s">
        <v>287</v>
      </c>
      <c r="B213" s="2">
        <v>46267</v>
      </c>
      <c r="C213">
        <v>2026</v>
      </c>
      <c r="D213" t="s">
        <v>23</v>
      </c>
      <c r="E213" t="s">
        <v>36</v>
      </c>
      <c r="F213" t="s">
        <v>37</v>
      </c>
      <c r="G213" t="s">
        <v>52</v>
      </c>
      <c r="H213" t="s">
        <v>52</v>
      </c>
      <c r="I213" t="s">
        <v>44</v>
      </c>
      <c r="J213" t="s">
        <v>65</v>
      </c>
      <c r="K213" t="s">
        <v>52</v>
      </c>
      <c r="L213" s="3">
        <v>9152</v>
      </c>
      <c r="M213" s="3">
        <v>0</v>
      </c>
      <c r="N213" t="s">
        <v>54</v>
      </c>
      <c r="O213" t="s">
        <v>42</v>
      </c>
      <c r="P213" t="s">
        <v>32</v>
      </c>
      <c r="Q213" t="s">
        <v>34</v>
      </c>
      <c r="R213" t="s">
        <v>33</v>
      </c>
      <c r="S213" s="3">
        <v>-182480</v>
      </c>
      <c r="T213" t="str">
        <f>TEXT(tblTransactions[[#This Row],[Date]],"mmm")</f>
        <v>Sep</v>
      </c>
      <c r="U213" t="str">
        <f>"Q"&amp;ROUNDUP(MONTH(tblTransactions[[#This Row],[Date]])/3,0)</f>
        <v>Q3</v>
      </c>
      <c r="V213">
        <f>MONTH(tblTransactions[[#This Row],[Date]])</f>
        <v>9</v>
      </c>
    </row>
    <row r="214" spans="1:22" x14ac:dyDescent="0.4">
      <c r="A214" t="s">
        <v>288</v>
      </c>
      <c r="B214" s="2">
        <v>46268</v>
      </c>
      <c r="C214">
        <v>2026</v>
      </c>
      <c r="D214" t="s">
        <v>44</v>
      </c>
      <c r="E214" t="s">
        <v>86</v>
      </c>
      <c r="F214" t="s">
        <v>25</v>
      </c>
      <c r="G214" t="s">
        <v>57</v>
      </c>
      <c r="H214" t="s">
        <v>40</v>
      </c>
      <c r="I214" t="s">
        <v>58</v>
      </c>
      <c r="J214" t="s">
        <v>40</v>
      </c>
      <c r="K214" t="s">
        <v>40</v>
      </c>
      <c r="L214" s="3">
        <v>17772</v>
      </c>
      <c r="M214" s="3">
        <v>14916</v>
      </c>
      <c r="N214" t="s">
        <v>30</v>
      </c>
      <c r="O214" t="s">
        <v>50</v>
      </c>
      <c r="P214" t="s">
        <v>32</v>
      </c>
      <c r="Q214" t="s">
        <v>34</v>
      </c>
      <c r="R214" t="s">
        <v>34</v>
      </c>
      <c r="S214" s="3">
        <v>-200252</v>
      </c>
      <c r="T214" t="str">
        <f>TEXT(tblTransactions[[#This Row],[Date]],"mmm")</f>
        <v>Sep</v>
      </c>
      <c r="U214" t="str">
        <f>"Q"&amp;ROUNDUP(MONTH(tblTransactions[[#This Row],[Date]])/3,0)</f>
        <v>Q3</v>
      </c>
      <c r="V214">
        <f>MONTH(tblTransactions[[#This Row],[Date]])</f>
        <v>9</v>
      </c>
    </row>
    <row r="215" spans="1:22" x14ac:dyDescent="0.4">
      <c r="A215" t="s">
        <v>289</v>
      </c>
      <c r="B215" s="2">
        <v>46269</v>
      </c>
      <c r="C215">
        <v>2026</v>
      </c>
      <c r="D215" t="s">
        <v>68</v>
      </c>
      <c r="E215" t="s">
        <v>24</v>
      </c>
      <c r="F215" t="s">
        <v>25</v>
      </c>
      <c r="G215" t="s">
        <v>57</v>
      </c>
      <c r="H215" t="s">
        <v>40</v>
      </c>
      <c r="I215" t="s">
        <v>53</v>
      </c>
      <c r="J215" t="s">
        <v>111</v>
      </c>
      <c r="K215" t="s">
        <v>40</v>
      </c>
      <c r="L215" s="3">
        <v>16690</v>
      </c>
      <c r="M215" s="3">
        <v>6153</v>
      </c>
      <c r="N215" t="s">
        <v>30</v>
      </c>
      <c r="O215" t="s">
        <v>31</v>
      </c>
      <c r="P215" t="s">
        <v>32</v>
      </c>
      <c r="Q215" t="s">
        <v>34</v>
      </c>
      <c r="R215" t="s">
        <v>34</v>
      </c>
      <c r="S215" s="3">
        <v>-216942</v>
      </c>
      <c r="T215" t="str">
        <f>TEXT(tblTransactions[[#This Row],[Date]],"mmm")</f>
        <v>Sep</v>
      </c>
      <c r="U215" t="str">
        <f>"Q"&amp;ROUNDUP(MONTH(tblTransactions[[#This Row],[Date]])/3,0)</f>
        <v>Q3</v>
      </c>
      <c r="V215">
        <f>MONTH(tblTransactions[[#This Row],[Date]])</f>
        <v>9</v>
      </c>
    </row>
    <row r="216" spans="1:22" x14ac:dyDescent="0.4">
      <c r="A216" t="s">
        <v>290</v>
      </c>
      <c r="B216" s="2">
        <v>46270</v>
      </c>
      <c r="C216">
        <v>2026</v>
      </c>
      <c r="D216" t="s">
        <v>68</v>
      </c>
      <c r="E216" t="s">
        <v>36</v>
      </c>
      <c r="F216" t="s">
        <v>37</v>
      </c>
      <c r="G216" t="s">
        <v>93</v>
      </c>
      <c r="H216" t="s">
        <v>94</v>
      </c>
      <c r="I216" t="s">
        <v>53</v>
      </c>
      <c r="J216" t="s">
        <v>90</v>
      </c>
      <c r="K216" t="s">
        <v>94</v>
      </c>
      <c r="L216" s="3">
        <v>76924</v>
      </c>
      <c r="M216" s="3">
        <v>0</v>
      </c>
      <c r="N216" t="s">
        <v>54</v>
      </c>
      <c r="O216" t="s">
        <v>55</v>
      </c>
      <c r="P216" t="s">
        <v>32</v>
      </c>
      <c r="Q216" t="s">
        <v>34</v>
      </c>
      <c r="R216" t="s">
        <v>34</v>
      </c>
      <c r="S216" s="3">
        <v>-140018</v>
      </c>
      <c r="T216" t="str">
        <f>TEXT(tblTransactions[[#This Row],[Date]],"mmm")</f>
        <v>Sep</v>
      </c>
      <c r="U216" t="str">
        <f>"Q"&amp;ROUNDUP(MONTH(tblTransactions[[#This Row],[Date]])/3,0)</f>
        <v>Q3</v>
      </c>
      <c r="V216">
        <f>MONTH(tblTransactions[[#This Row],[Date]])</f>
        <v>9</v>
      </c>
    </row>
    <row r="217" spans="1:22" x14ac:dyDescent="0.4">
      <c r="A217" t="s">
        <v>291</v>
      </c>
      <c r="B217" s="2">
        <v>46271</v>
      </c>
      <c r="C217">
        <v>2026</v>
      </c>
      <c r="D217" t="s">
        <v>44</v>
      </c>
      <c r="E217" t="s">
        <v>86</v>
      </c>
      <c r="F217" t="s">
        <v>25</v>
      </c>
      <c r="G217" t="s">
        <v>104</v>
      </c>
      <c r="H217" t="s">
        <v>105</v>
      </c>
      <c r="I217" t="s">
        <v>48</v>
      </c>
      <c r="J217" t="s">
        <v>84</v>
      </c>
      <c r="K217" t="s">
        <v>105</v>
      </c>
      <c r="L217" s="3">
        <v>13640</v>
      </c>
      <c r="M217" s="3">
        <v>13351</v>
      </c>
      <c r="N217" t="s">
        <v>60</v>
      </c>
      <c r="O217" t="s">
        <v>50</v>
      </c>
      <c r="P217" t="s">
        <v>32</v>
      </c>
      <c r="Q217" t="s">
        <v>33</v>
      </c>
      <c r="R217" t="s">
        <v>34</v>
      </c>
      <c r="S217" s="3">
        <v>-153658</v>
      </c>
      <c r="T217" t="str">
        <f>TEXT(tblTransactions[[#This Row],[Date]],"mmm")</f>
        <v>Sep</v>
      </c>
      <c r="U217" t="str">
        <f>"Q"&amp;ROUNDUP(MONTH(tblTransactions[[#This Row],[Date]])/3,0)</f>
        <v>Q3</v>
      </c>
      <c r="V217">
        <f>MONTH(tblTransactions[[#This Row],[Date]])</f>
        <v>9</v>
      </c>
    </row>
    <row r="218" spans="1:22" x14ac:dyDescent="0.4">
      <c r="A218" t="s">
        <v>292</v>
      </c>
      <c r="B218" s="2">
        <v>46272</v>
      </c>
      <c r="C218">
        <v>2026</v>
      </c>
      <c r="D218" t="s">
        <v>68</v>
      </c>
      <c r="E218" t="s">
        <v>36</v>
      </c>
      <c r="F218" t="s">
        <v>37</v>
      </c>
      <c r="G218" t="s">
        <v>52</v>
      </c>
      <c r="H218" t="s">
        <v>52</v>
      </c>
      <c r="I218" t="s">
        <v>53</v>
      </c>
      <c r="J218" t="s">
        <v>90</v>
      </c>
      <c r="K218" t="s">
        <v>52</v>
      </c>
      <c r="L218" s="3">
        <v>2741</v>
      </c>
      <c r="M218" s="3">
        <v>0</v>
      </c>
      <c r="N218" t="s">
        <v>30</v>
      </c>
      <c r="O218" t="s">
        <v>50</v>
      </c>
      <c r="P218" t="s">
        <v>32</v>
      </c>
      <c r="Q218" t="s">
        <v>34</v>
      </c>
      <c r="R218" t="s">
        <v>34</v>
      </c>
      <c r="S218" s="3">
        <v>-150917</v>
      </c>
      <c r="T218" t="str">
        <f>TEXT(tblTransactions[[#This Row],[Date]],"mmm")</f>
        <v>Sep</v>
      </c>
      <c r="U218" t="str">
        <f>"Q"&amp;ROUNDUP(MONTH(tblTransactions[[#This Row],[Date]])/3,0)</f>
        <v>Q3</v>
      </c>
      <c r="V218">
        <f>MONTH(tblTransactions[[#This Row],[Date]])</f>
        <v>9</v>
      </c>
    </row>
    <row r="219" spans="1:22" x14ac:dyDescent="0.4">
      <c r="A219" t="s">
        <v>293</v>
      </c>
      <c r="B219" s="2">
        <v>46273</v>
      </c>
      <c r="C219">
        <v>2026</v>
      </c>
      <c r="D219" t="s">
        <v>23</v>
      </c>
      <c r="E219" t="s">
        <v>36</v>
      </c>
      <c r="F219" t="s">
        <v>25</v>
      </c>
      <c r="G219" t="s">
        <v>98</v>
      </c>
      <c r="H219" t="s">
        <v>99</v>
      </c>
      <c r="I219" t="s">
        <v>28</v>
      </c>
      <c r="J219" t="s">
        <v>84</v>
      </c>
      <c r="K219" t="s">
        <v>99</v>
      </c>
      <c r="L219" s="3">
        <v>1827</v>
      </c>
      <c r="M219" s="3">
        <v>19567</v>
      </c>
      <c r="N219" t="s">
        <v>60</v>
      </c>
      <c r="O219" t="s">
        <v>50</v>
      </c>
      <c r="P219" t="s">
        <v>32</v>
      </c>
      <c r="Q219" t="s">
        <v>34</v>
      </c>
      <c r="R219" t="s">
        <v>34</v>
      </c>
      <c r="S219" s="3">
        <v>-152744</v>
      </c>
      <c r="T219" t="str">
        <f>TEXT(tblTransactions[[#This Row],[Date]],"mmm")</f>
        <v>Sep</v>
      </c>
      <c r="U219" t="str">
        <f>"Q"&amp;ROUNDUP(MONTH(tblTransactions[[#This Row],[Date]])/3,0)</f>
        <v>Q3</v>
      </c>
      <c r="V219">
        <f>MONTH(tblTransactions[[#This Row],[Date]])</f>
        <v>9</v>
      </c>
    </row>
    <row r="220" spans="1:22" x14ac:dyDescent="0.4">
      <c r="A220" t="s">
        <v>294</v>
      </c>
      <c r="B220" s="2">
        <v>46274</v>
      </c>
      <c r="C220">
        <v>2026</v>
      </c>
      <c r="D220" t="s">
        <v>44</v>
      </c>
      <c r="E220" t="s">
        <v>36</v>
      </c>
      <c r="F220" t="s">
        <v>25</v>
      </c>
      <c r="G220" t="s">
        <v>73</v>
      </c>
      <c r="H220" t="s">
        <v>74</v>
      </c>
      <c r="I220" t="s">
        <v>48</v>
      </c>
      <c r="J220" t="s">
        <v>59</v>
      </c>
      <c r="K220" t="s">
        <v>74</v>
      </c>
      <c r="L220" s="3">
        <v>2963</v>
      </c>
      <c r="M220" s="3">
        <v>17893</v>
      </c>
      <c r="N220" t="s">
        <v>54</v>
      </c>
      <c r="O220" t="s">
        <v>42</v>
      </c>
      <c r="P220" t="s">
        <v>32</v>
      </c>
      <c r="Q220" t="s">
        <v>34</v>
      </c>
      <c r="R220" t="s">
        <v>33</v>
      </c>
      <c r="S220" s="3">
        <v>-155707</v>
      </c>
      <c r="T220" t="str">
        <f>TEXT(tblTransactions[[#This Row],[Date]],"mmm")</f>
        <v>Sep</v>
      </c>
      <c r="U220" t="str">
        <f>"Q"&amp;ROUNDUP(MONTH(tblTransactions[[#This Row],[Date]])/3,0)</f>
        <v>Q3</v>
      </c>
      <c r="V220">
        <f>MONTH(tblTransactions[[#This Row],[Date]])</f>
        <v>9</v>
      </c>
    </row>
    <row r="221" spans="1:22" x14ac:dyDescent="0.4">
      <c r="A221" t="s">
        <v>295</v>
      </c>
      <c r="B221" s="2">
        <v>46275</v>
      </c>
      <c r="C221">
        <v>2026</v>
      </c>
      <c r="D221" t="s">
        <v>68</v>
      </c>
      <c r="E221" t="s">
        <v>36</v>
      </c>
      <c r="F221" t="s">
        <v>25</v>
      </c>
      <c r="G221" t="s">
        <v>73</v>
      </c>
      <c r="H221" t="s">
        <v>74</v>
      </c>
      <c r="I221" t="s">
        <v>44</v>
      </c>
      <c r="J221" t="s">
        <v>90</v>
      </c>
      <c r="K221" t="s">
        <v>74</v>
      </c>
      <c r="L221" s="3">
        <v>4730</v>
      </c>
      <c r="M221" s="3">
        <v>6946</v>
      </c>
      <c r="N221" t="s">
        <v>60</v>
      </c>
      <c r="O221" t="s">
        <v>55</v>
      </c>
      <c r="P221" t="s">
        <v>32</v>
      </c>
      <c r="Q221" t="s">
        <v>33</v>
      </c>
      <c r="R221" t="s">
        <v>34</v>
      </c>
      <c r="S221" s="3">
        <v>-160437</v>
      </c>
      <c r="T221" t="str">
        <f>TEXT(tblTransactions[[#This Row],[Date]],"mmm")</f>
        <v>Sep</v>
      </c>
      <c r="U221" t="str">
        <f>"Q"&amp;ROUNDUP(MONTH(tblTransactions[[#This Row],[Date]])/3,0)</f>
        <v>Q3</v>
      </c>
      <c r="V221">
        <f>MONTH(tblTransactions[[#This Row],[Date]])</f>
        <v>9</v>
      </c>
    </row>
    <row r="222" spans="1:22" x14ac:dyDescent="0.4">
      <c r="A222" t="s">
        <v>296</v>
      </c>
      <c r="B222" s="2">
        <v>46276</v>
      </c>
      <c r="C222">
        <v>2026</v>
      </c>
      <c r="D222" t="s">
        <v>44</v>
      </c>
      <c r="E222" t="s">
        <v>45</v>
      </c>
      <c r="F222" t="s">
        <v>25</v>
      </c>
      <c r="G222" t="s">
        <v>57</v>
      </c>
      <c r="H222" t="s">
        <v>40</v>
      </c>
      <c r="I222" t="s">
        <v>39</v>
      </c>
      <c r="J222" t="s">
        <v>29</v>
      </c>
      <c r="K222" t="s">
        <v>40</v>
      </c>
      <c r="L222" s="3">
        <v>9636</v>
      </c>
      <c r="M222" s="3">
        <v>19796</v>
      </c>
      <c r="N222" t="s">
        <v>54</v>
      </c>
      <c r="O222" t="s">
        <v>50</v>
      </c>
      <c r="P222" t="s">
        <v>32</v>
      </c>
      <c r="Q222" t="s">
        <v>34</v>
      </c>
      <c r="R222" t="s">
        <v>34</v>
      </c>
      <c r="S222" s="3">
        <v>-170073</v>
      </c>
      <c r="T222" t="str">
        <f>TEXT(tblTransactions[[#This Row],[Date]],"mmm")</f>
        <v>Sep</v>
      </c>
      <c r="U222" t="str">
        <f>"Q"&amp;ROUNDUP(MONTH(tblTransactions[[#This Row],[Date]])/3,0)</f>
        <v>Q3</v>
      </c>
      <c r="V222">
        <f>MONTH(tblTransactions[[#This Row],[Date]])</f>
        <v>9</v>
      </c>
    </row>
    <row r="223" spans="1:22" x14ac:dyDescent="0.4">
      <c r="A223" t="s">
        <v>297</v>
      </c>
      <c r="B223" s="2">
        <v>46277</v>
      </c>
      <c r="C223">
        <v>2026</v>
      </c>
      <c r="D223" t="s">
        <v>23</v>
      </c>
      <c r="E223" t="s">
        <v>24</v>
      </c>
      <c r="F223" t="s">
        <v>25</v>
      </c>
      <c r="G223" t="s">
        <v>70</v>
      </c>
      <c r="H223" t="s">
        <v>71</v>
      </c>
      <c r="I223" t="s">
        <v>58</v>
      </c>
      <c r="J223" t="s">
        <v>59</v>
      </c>
      <c r="K223" t="s">
        <v>71</v>
      </c>
      <c r="L223" s="3">
        <v>14118</v>
      </c>
      <c r="M223" s="3">
        <v>11544</v>
      </c>
      <c r="N223" t="s">
        <v>41</v>
      </c>
      <c r="O223" t="s">
        <v>42</v>
      </c>
      <c r="P223" t="s">
        <v>32</v>
      </c>
      <c r="Q223" t="s">
        <v>33</v>
      </c>
      <c r="R223" t="s">
        <v>33</v>
      </c>
      <c r="S223" s="3">
        <v>-184191</v>
      </c>
      <c r="T223" t="str">
        <f>TEXT(tblTransactions[[#This Row],[Date]],"mmm")</f>
        <v>Sep</v>
      </c>
      <c r="U223" t="str">
        <f>"Q"&amp;ROUNDUP(MONTH(tblTransactions[[#This Row],[Date]])/3,0)</f>
        <v>Q3</v>
      </c>
      <c r="V223">
        <f>MONTH(tblTransactions[[#This Row],[Date]])</f>
        <v>9</v>
      </c>
    </row>
    <row r="224" spans="1:22" x14ac:dyDescent="0.4">
      <c r="A224" t="s">
        <v>298</v>
      </c>
      <c r="B224" s="2">
        <v>46278</v>
      </c>
      <c r="C224">
        <v>2026</v>
      </c>
      <c r="D224" t="s">
        <v>44</v>
      </c>
      <c r="E224" t="s">
        <v>36</v>
      </c>
      <c r="F224" t="s">
        <v>25</v>
      </c>
      <c r="G224" t="s">
        <v>104</v>
      </c>
      <c r="H224" t="s">
        <v>105</v>
      </c>
      <c r="I224" t="s">
        <v>58</v>
      </c>
      <c r="J224" t="s">
        <v>59</v>
      </c>
      <c r="K224" t="s">
        <v>105</v>
      </c>
      <c r="L224" s="3">
        <v>19745</v>
      </c>
      <c r="M224" s="3">
        <v>9462</v>
      </c>
      <c r="N224" t="s">
        <v>54</v>
      </c>
      <c r="O224" t="s">
        <v>31</v>
      </c>
      <c r="P224" t="s">
        <v>32</v>
      </c>
      <c r="Q224" t="s">
        <v>34</v>
      </c>
      <c r="R224" t="s">
        <v>33</v>
      </c>
      <c r="S224" s="3">
        <v>-203936</v>
      </c>
      <c r="T224" t="str">
        <f>TEXT(tblTransactions[[#This Row],[Date]],"mmm")</f>
        <v>Sep</v>
      </c>
      <c r="U224" t="str">
        <f>"Q"&amp;ROUNDUP(MONTH(tblTransactions[[#This Row],[Date]])/3,0)</f>
        <v>Q3</v>
      </c>
      <c r="V224">
        <f>MONTH(tblTransactions[[#This Row],[Date]])</f>
        <v>9</v>
      </c>
    </row>
    <row r="225" spans="1:22" x14ac:dyDescent="0.4">
      <c r="A225" t="s">
        <v>299</v>
      </c>
      <c r="B225" s="2">
        <v>46279</v>
      </c>
      <c r="C225">
        <v>2026</v>
      </c>
      <c r="D225" t="s">
        <v>23</v>
      </c>
      <c r="E225" t="s">
        <v>45</v>
      </c>
      <c r="F225" t="s">
        <v>25</v>
      </c>
      <c r="G225" t="s">
        <v>98</v>
      </c>
      <c r="H225" t="s">
        <v>99</v>
      </c>
      <c r="I225" t="s">
        <v>28</v>
      </c>
      <c r="J225" t="s">
        <v>65</v>
      </c>
      <c r="K225" t="s">
        <v>99</v>
      </c>
      <c r="L225" s="3">
        <v>738</v>
      </c>
      <c r="M225" s="3">
        <v>13728</v>
      </c>
      <c r="N225" t="s">
        <v>60</v>
      </c>
      <c r="O225" t="s">
        <v>42</v>
      </c>
      <c r="P225" t="s">
        <v>32</v>
      </c>
      <c r="Q225" t="s">
        <v>33</v>
      </c>
      <c r="R225" t="s">
        <v>34</v>
      </c>
      <c r="S225" s="3">
        <v>-204674</v>
      </c>
      <c r="T225" t="str">
        <f>TEXT(tblTransactions[[#This Row],[Date]],"mmm")</f>
        <v>Sep</v>
      </c>
      <c r="U225" t="str">
        <f>"Q"&amp;ROUNDUP(MONTH(tblTransactions[[#This Row],[Date]])/3,0)</f>
        <v>Q3</v>
      </c>
      <c r="V225">
        <f>MONTH(tblTransactions[[#This Row],[Date]])</f>
        <v>9</v>
      </c>
    </row>
    <row r="226" spans="1:22" x14ac:dyDescent="0.4">
      <c r="A226" t="s">
        <v>300</v>
      </c>
      <c r="B226" s="2">
        <v>46280</v>
      </c>
      <c r="C226">
        <v>2026</v>
      </c>
      <c r="D226" t="s">
        <v>23</v>
      </c>
      <c r="E226" t="s">
        <v>24</v>
      </c>
      <c r="F226" t="s">
        <v>25</v>
      </c>
      <c r="G226" t="s">
        <v>104</v>
      </c>
      <c r="H226" t="s">
        <v>105</v>
      </c>
      <c r="I226" t="s">
        <v>39</v>
      </c>
      <c r="J226" t="s">
        <v>59</v>
      </c>
      <c r="K226" t="s">
        <v>105</v>
      </c>
      <c r="L226" s="3">
        <v>1393</v>
      </c>
      <c r="M226" s="3">
        <v>3344</v>
      </c>
      <c r="N226" t="s">
        <v>60</v>
      </c>
      <c r="O226" t="s">
        <v>42</v>
      </c>
      <c r="P226" t="s">
        <v>32</v>
      </c>
      <c r="Q226" t="s">
        <v>34</v>
      </c>
      <c r="R226" t="s">
        <v>33</v>
      </c>
      <c r="S226" s="3">
        <v>-206067</v>
      </c>
      <c r="T226" t="str">
        <f>TEXT(tblTransactions[[#This Row],[Date]],"mmm")</f>
        <v>Sep</v>
      </c>
      <c r="U226" t="str">
        <f>"Q"&amp;ROUNDUP(MONTH(tblTransactions[[#This Row],[Date]])/3,0)</f>
        <v>Q3</v>
      </c>
      <c r="V226">
        <f>MONTH(tblTransactions[[#This Row],[Date]])</f>
        <v>9</v>
      </c>
    </row>
    <row r="227" spans="1:22" x14ac:dyDescent="0.4">
      <c r="A227" t="s">
        <v>301</v>
      </c>
      <c r="B227" s="2">
        <v>46281</v>
      </c>
      <c r="C227">
        <v>2026</v>
      </c>
      <c r="D227" t="s">
        <v>68</v>
      </c>
      <c r="E227" t="s">
        <v>45</v>
      </c>
      <c r="F227" t="s">
        <v>37</v>
      </c>
      <c r="G227" t="s">
        <v>77</v>
      </c>
      <c r="H227" t="s">
        <v>78</v>
      </c>
      <c r="I227" t="s">
        <v>39</v>
      </c>
      <c r="J227" t="s">
        <v>40</v>
      </c>
      <c r="K227" t="s">
        <v>78</v>
      </c>
      <c r="L227" s="3">
        <v>37635</v>
      </c>
      <c r="M227" s="3">
        <v>0</v>
      </c>
      <c r="N227" t="s">
        <v>41</v>
      </c>
      <c r="O227" t="s">
        <v>50</v>
      </c>
      <c r="P227" t="s">
        <v>32</v>
      </c>
      <c r="Q227" t="s">
        <v>34</v>
      </c>
      <c r="R227" t="s">
        <v>33</v>
      </c>
      <c r="S227" s="3">
        <v>-168432</v>
      </c>
      <c r="T227" t="str">
        <f>TEXT(tblTransactions[[#This Row],[Date]],"mmm")</f>
        <v>Sep</v>
      </c>
      <c r="U227" t="str">
        <f>"Q"&amp;ROUNDUP(MONTH(tblTransactions[[#This Row],[Date]])/3,0)</f>
        <v>Q3</v>
      </c>
      <c r="V227">
        <f>MONTH(tblTransactions[[#This Row],[Date]])</f>
        <v>9</v>
      </c>
    </row>
    <row r="228" spans="1:22" x14ac:dyDescent="0.4">
      <c r="A228" t="s">
        <v>302</v>
      </c>
      <c r="B228" s="2">
        <v>46282</v>
      </c>
      <c r="C228">
        <v>2026</v>
      </c>
      <c r="D228" t="s">
        <v>23</v>
      </c>
      <c r="E228" t="s">
        <v>45</v>
      </c>
      <c r="F228" t="s">
        <v>25</v>
      </c>
      <c r="G228" t="s">
        <v>104</v>
      </c>
      <c r="H228" t="s">
        <v>105</v>
      </c>
      <c r="I228" t="s">
        <v>58</v>
      </c>
      <c r="J228" t="s">
        <v>90</v>
      </c>
      <c r="K228" t="s">
        <v>105</v>
      </c>
      <c r="L228" s="3">
        <v>12125</v>
      </c>
      <c r="M228" s="3">
        <v>16703</v>
      </c>
      <c r="N228" t="s">
        <v>60</v>
      </c>
      <c r="O228" t="s">
        <v>42</v>
      </c>
      <c r="P228" t="s">
        <v>32</v>
      </c>
      <c r="Q228" t="s">
        <v>33</v>
      </c>
      <c r="R228" t="s">
        <v>34</v>
      </c>
      <c r="S228" s="3">
        <v>-180557</v>
      </c>
      <c r="T228" t="str">
        <f>TEXT(tblTransactions[[#This Row],[Date]],"mmm")</f>
        <v>Sep</v>
      </c>
      <c r="U228" t="str">
        <f>"Q"&amp;ROUNDUP(MONTH(tblTransactions[[#This Row],[Date]])/3,0)</f>
        <v>Q3</v>
      </c>
      <c r="V228">
        <f>MONTH(tblTransactions[[#This Row],[Date]])</f>
        <v>9</v>
      </c>
    </row>
    <row r="229" spans="1:22" x14ac:dyDescent="0.4">
      <c r="A229" t="s">
        <v>303</v>
      </c>
      <c r="B229" s="2">
        <v>46283</v>
      </c>
      <c r="C229">
        <v>2026</v>
      </c>
      <c r="D229" t="s">
        <v>23</v>
      </c>
      <c r="E229" t="s">
        <v>24</v>
      </c>
      <c r="F229" t="s">
        <v>25</v>
      </c>
      <c r="G229" t="s">
        <v>98</v>
      </c>
      <c r="H229" t="s">
        <v>99</v>
      </c>
      <c r="I229" t="s">
        <v>28</v>
      </c>
      <c r="J229" t="s">
        <v>49</v>
      </c>
      <c r="K229" t="s">
        <v>99</v>
      </c>
      <c r="L229" s="3">
        <v>18052</v>
      </c>
      <c r="M229" s="3">
        <v>8329</v>
      </c>
      <c r="N229" t="s">
        <v>60</v>
      </c>
      <c r="O229" t="s">
        <v>55</v>
      </c>
      <c r="P229" t="s">
        <v>32</v>
      </c>
      <c r="Q229" t="s">
        <v>34</v>
      </c>
      <c r="R229" t="s">
        <v>33</v>
      </c>
      <c r="S229" s="3">
        <v>-198609</v>
      </c>
      <c r="T229" t="str">
        <f>TEXT(tblTransactions[[#This Row],[Date]],"mmm")</f>
        <v>Sep</v>
      </c>
      <c r="U229" t="str">
        <f>"Q"&amp;ROUNDUP(MONTH(tblTransactions[[#This Row],[Date]])/3,0)</f>
        <v>Q3</v>
      </c>
      <c r="V229">
        <f>MONTH(tblTransactions[[#This Row],[Date]])</f>
        <v>9</v>
      </c>
    </row>
    <row r="230" spans="1:22" x14ac:dyDescent="0.4">
      <c r="A230" t="s">
        <v>304</v>
      </c>
      <c r="B230" s="2">
        <v>46284</v>
      </c>
      <c r="C230">
        <v>2026</v>
      </c>
      <c r="D230" t="s">
        <v>44</v>
      </c>
      <c r="E230" t="s">
        <v>36</v>
      </c>
      <c r="F230" t="s">
        <v>25</v>
      </c>
      <c r="G230" t="s">
        <v>98</v>
      </c>
      <c r="H230" t="s">
        <v>99</v>
      </c>
      <c r="I230" t="s">
        <v>44</v>
      </c>
      <c r="J230" t="s">
        <v>111</v>
      </c>
      <c r="K230" t="s">
        <v>99</v>
      </c>
      <c r="L230" s="3">
        <v>5216</v>
      </c>
      <c r="M230" s="3">
        <v>2210</v>
      </c>
      <c r="N230" t="s">
        <v>30</v>
      </c>
      <c r="O230" t="s">
        <v>55</v>
      </c>
      <c r="P230" t="s">
        <v>32</v>
      </c>
      <c r="Q230" t="s">
        <v>34</v>
      </c>
      <c r="R230" t="s">
        <v>34</v>
      </c>
      <c r="S230" s="3">
        <v>-203825</v>
      </c>
      <c r="T230" t="str">
        <f>TEXT(tblTransactions[[#This Row],[Date]],"mmm")</f>
        <v>Sep</v>
      </c>
      <c r="U230" t="str">
        <f>"Q"&amp;ROUNDUP(MONTH(tblTransactions[[#This Row],[Date]])/3,0)</f>
        <v>Q3</v>
      </c>
      <c r="V230">
        <f>MONTH(tblTransactions[[#This Row],[Date]])</f>
        <v>9</v>
      </c>
    </row>
    <row r="231" spans="1:22" x14ac:dyDescent="0.4">
      <c r="A231" t="s">
        <v>305</v>
      </c>
      <c r="B231" s="2">
        <v>46285</v>
      </c>
      <c r="C231">
        <v>2026</v>
      </c>
      <c r="D231" t="s">
        <v>23</v>
      </c>
      <c r="E231" t="s">
        <v>45</v>
      </c>
      <c r="F231" t="s">
        <v>25</v>
      </c>
      <c r="G231" t="s">
        <v>63</v>
      </c>
      <c r="H231" t="s">
        <v>64</v>
      </c>
      <c r="I231" t="s">
        <v>58</v>
      </c>
      <c r="J231" t="s">
        <v>74</v>
      </c>
      <c r="K231" t="s">
        <v>64</v>
      </c>
      <c r="L231" s="3">
        <v>11944</v>
      </c>
      <c r="M231" s="3">
        <v>1151</v>
      </c>
      <c r="N231" t="s">
        <v>54</v>
      </c>
      <c r="O231" t="s">
        <v>55</v>
      </c>
      <c r="P231" t="s">
        <v>32</v>
      </c>
      <c r="Q231" t="s">
        <v>34</v>
      </c>
      <c r="R231" t="s">
        <v>33</v>
      </c>
      <c r="S231" s="3">
        <v>-215769</v>
      </c>
      <c r="T231" t="str">
        <f>TEXT(tblTransactions[[#This Row],[Date]],"mmm")</f>
        <v>Sep</v>
      </c>
      <c r="U231" t="str">
        <f>"Q"&amp;ROUNDUP(MONTH(tblTransactions[[#This Row],[Date]])/3,0)</f>
        <v>Q3</v>
      </c>
      <c r="V231">
        <f>MONTH(tblTransactions[[#This Row],[Date]])</f>
        <v>9</v>
      </c>
    </row>
    <row r="232" spans="1:22" x14ac:dyDescent="0.4">
      <c r="A232" t="s">
        <v>306</v>
      </c>
      <c r="B232" s="2">
        <v>46286</v>
      </c>
      <c r="C232">
        <v>2026</v>
      </c>
      <c r="D232" t="s">
        <v>23</v>
      </c>
      <c r="E232" t="s">
        <v>45</v>
      </c>
      <c r="F232" t="s">
        <v>25</v>
      </c>
      <c r="G232" t="s">
        <v>57</v>
      </c>
      <c r="H232" t="s">
        <v>40</v>
      </c>
      <c r="I232" t="s">
        <v>28</v>
      </c>
      <c r="J232" t="s">
        <v>40</v>
      </c>
      <c r="K232" t="s">
        <v>40</v>
      </c>
      <c r="L232" s="3">
        <v>14782</v>
      </c>
      <c r="M232" s="3">
        <v>3019</v>
      </c>
      <c r="N232" t="s">
        <v>41</v>
      </c>
      <c r="O232" t="s">
        <v>50</v>
      </c>
      <c r="P232" t="s">
        <v>32</v>
      </c>
      <c r="Q232" t="s">
        <v>34</v>
      </c>
      <c r="R232" t="s">
        <v>34</v>
      </c>
      <c r="S232" s="3">
        <v>-230551</v>
      </c>
      <c r="T232" t="str">
        <f>TEXT(tblTransactions[[#This Row],[Date]],"mmm")</f>
        <v>Sep</v>
      </c>
      <c r="U232" t="str">
        <f>"Q"&amp;ROUNDUP(MONTH(tblTransactions[[#This Row],[Date]])/3,0)</f>
        <v>Q3</v>
      </c>
      <c r="V232">
        <f>MONTH(tblTransactions[[#This Row],[Date]])</f>
        <v>9</v>
      </c>
    </row>
    <row r="233" spans="1:22" x14ac:dyDescent="0.4">
      <c r="A233" t="s">
        <v>307</v>
      </c>
      <c r="B233" s="2">
        <v>46287</v>
      </c>
      <c r="C233">
        <v>2026</v>
      </c>
      <c r="D233" t="s">
        <v>68</v>
      </c>
      <c r="E233" t="s">
        <v>86</v>
      </c>
      <c r="F233" t="s">
        <v>25</v>
      </c>
      <c r="G233" t="s">
        <v>70</v>
      </c>
      <c r="H233" t="s">
        <v>71</v>
      </c>
      <c r="I233" t="s">
        <v>48</v>
      </c>
      <c r="J233" t="s">
        <v>59</v>
      </c>
      <c r="K233" t="s">
        <v>71</v>
      </c>
      <c r="L233" s="3">
        <v>15405</v>
      </c>
      <c r="M233" s="3">
        <v>9325</v>
      </c>
      <c r="N233" t="s">
        <v>30</v>
      </c>
      <c r="O233" t="s">
        <v>42</v>
      </c>
      <c r="P233" t="s">
        <v>32</v>
      </c>
      <c r="Q233" t="s">
        <v>34</v>
      </c>
      <c r="R233" t="s">
        <v>33</v>
      </c>
      <c r="S233" s="3">
        <v>-245956</v>
      </c>
      <c r="T233" t="str">
        <f>TEXT(tblTransactions[[#This Row],[Date]],"mmm")</f>
        <v>Sep</v>
      </c>
      <c r="U233" t="str">
        <f>"Q"&amp;ROUNDUP(MONTH(tblTransactions[[#This Row],[Date]])/3,0)</f>
        <v>Q3</v>
      </c>
      <c r="V233">
        <f>MONTH(tblTransactions[[#This Row],[Date]])</f>
        <v>9</v>
      </c>
    </row>
    <row r="234" spans="1:22" x14ac:dyDescent="0.4">
      <c r="A234" t="s">
        <v>308</v>
      </c>
      <c r="B234" s="2">
        <v>46289</v>
      </c>
      <c r="C234">
        <v>2026</v>
      </c>
      <c r="D234" t="s">
        <v>23</v>
      </c>
      <c r="E234" t="s">
        <v>24</v>
      </c>
      <c r="F234" t="s">
        <v>25</v>
      </c>
      <c r="G234" t="s">
        <v>104</v>
      </c>
      <c r="H234" t="s">
        <v>105</v>
      </c>
      <c r="I234" t="s">
        <v>53</v>
      </c>
      <c r="J234" t="s">
        <v>84</v>
      </c>
      <c r="K234" t="s">
        <v>105</v>
      </c>
      <c r="L234" s="3">
        <v>19726</v>
      </c>
      <c r="M234" s="3">
        <v>6103</v>
      </c>
      <c r="N234" t="s">
        <v>60</v>
      </c>
      <c r="O234" t="s">
        <v>50</v>
      </c>
      <c r="P234" t="s">
        <v>32</v>
      </c>
      <c r="Q234" t="s">
        <v>34</v>
      </c>
      <c r="R234" t="s">
        <v>34</v>
      </c>
      <c r="S234" s="3">
        <v>-265682</v>
      </c>
      <c r="T234" t="str">
        <f>TEXT(tblTransactions[[#This Row],[Date]],"mmm")</f>
        <v>Sep</v>
      </c>
      <c r="U234" t="str">
        <f>"Q"&amp;ROUNDUP(MONTH(tblTransactions[[#This Row],[Date]])/3,0)</f>
        <v>Q3</v>
      </c>
      <c r="V234">
        <f>MONTH(tblTransactions[[#This Row],[Date]])</f>
        <v>9</v>
      </c>
    </row>
    <row r="235" spans="1:22" x14ac:dyDescent="0.4">
      <c r="A235" t="s">
        <v>309</v>
      </c>
      <c r="B235" s="2">
        <v>46290</v>
      </c>
      <c r="C235">
        <v>2026</v>
      </c>
      <c r="D235" t="s">
        <v>68</v>
      </c>
      <c r="E235" t="s">
        <v>45</v>
      </c>
      <c r="F235" t="s">
        <v>25</v>
      </c>
      <c r="G235" t="s">
        <v>104</v>
      </c>
      <c r="H235" t="s">
        <v>105</v>
      </c>
      <c r="I235" t="s">
        <v>28</v>
      </c>
      <c r="J235" t="s">
        <v>90</v>
      </c>
      <c r="K235" t="s">
        <v>105</v>
      </c>
      <c r="L235" s="3">
        <v>7282</v>
      </c>
      <c r="M235" s="3">
        <v>16345</v>
      </c>
      <c r="N235" t="s">
        <v>60</v>
      </c>
      <c r="O235" t="s">
        <v>50</v>
      </c>
      <c r="P235" t="s">
        <v>32</v>
      </c>
      <c r="Q235" t="s">
        <v>34</v>
      </c>
      <c r="R235" t="s">
        <v>34</v>
      </c>
      <c r="S235" s="3">
        <v>-272964</v>
      </c>
      <c r="T235" t="str">
        <f>TEXT(tblTransactions[[#This Row],[Date]],"mmm")</f>
        <v>Sep</v>
      </c>
      <c r="U235" t="str">
        <f>"Q"&amp;ROUNDUP(MONTH(tblTransactions[[#This Row],[Date]])/3,0)</f>
        <v>Q3</v>
      </c>
      <c r="V235">
        <f>MONTH(tblTransactions[[#This Row],[Date]])</f>
        <v>9</v>
      </c>
    </row>
    <row r="236" spans="1:22" x14ac:dyDescent="0.4">
      <c r="A236" t="s">
        <v>310</v>
      </c>
      <c r="B236" s="2">
        <v>46291</v>
      </c>
      <c r="C236">
        <v>2026</v>
      </c>
      <c r="D236" t="s">
        <v>23</v>
      </c>
      <c r="E236" t="s">
        <v>24</v>
      </c>
      <c r="F236" t="s">
        <v>37</v>
      </c>
      <c r="G236" t="s">
        <v>52</v>
      </c>
      <c r="H236" t="s">
        <v>52</v>
      </c>
      <c r="I236" t="s">
        <v>58</v>
      </c>
      <c r="J236" t="s">
        <v>111</v>
      </c>
      <c r="K236" t="s">
        <v>52</v>
      </c>
      <c r="L236" s="3">
        <v>3387</v>
      </c>
      <c r="M236" s="3">
        <v>0</v>
      </c>
      <c r="N236" t="s">
        <v>54</v>
      </c>
      <c r="O236" t="s">
        <v>50</v>
      </c>
      <c r="P236" t="s">
        <v>32</v>
      </c>
      <c r="Q236" t="s">
        <v>33</v>
      </c>
      <c r="R236" t="s">
        <v>34</v>
      </c>
      <c r="S236" s="3">
        <v>-269577</v>
      </c>
      <c r="T236" t="str">
        <f>TEXT(tblTransactions[[#This Row],[Date]],"mmm")</f>
        <v>Sep</v>
      </c>
      <c r="U236" t="str">
        <f>"Q"&amp;ROUNDUP(MONTH(tblTransactions[[#This Row],[Date]])/3,0)</f>
        <v>Q3</v>
      </c>
      <c r="V236">
        <f>MONTH(tblTransactions[[#This Row],[Date]])</f>
        <v>9</v>
      </c>
    </row>
    <row r="237" spans="1:22" x14ac:dyDescent="0.4">
      <c r="A237" t="s">
        <v>311</v>
      </c>
      <c r="B237" s="2">
        <v>46292</v>
      </c>
      <c r="C237">
        <v>2026</v>
      </c>
      <c r="D237" t="s">
        <v>68</v>
      </c>
      <c r="E237" t="s">
        <v>86</v>
      </c>
      <c r="F237" t="s">
        <v>25</v>
      </c>
      <c r="G237" t="s">
        <v>73</v>
      </c>
      <c r="H237" t="s">
        <v>74</v>
      </c>
      <c r="I237" t="s">
        <v>28</v>
      </c>
      <c r="J237" t="s">
        <v>65</v>
      </c>
      <c r="K237" t="s">
        <v>74</v>
      </c>
      <c r="L237" s="3">
        <v>4969</v>
      </c>
      <c r="M237" s="3">
        <v>2418</v>
      </c>
      <c r="N237" t="s">
        <v>60</v>
      </c>
      <c r="O237" t="s">
        <v>50</v>
      </c>
      <c r="P237" t="s">
        <v>32</v>
      </c>
      <c r="Q237" t="s">
        <v>34</v>
      </c>
      <c r="R237" t="s">
        <v>34</v>
      </c>
      <c r="S237" s="3">
        <v>-274546</v>
      </c>
      <c r="T237" t="str">
        <f>TEXT(tblTransactions[[#This Row],[Date]],"mmm")</f>
        <v>Sep</v>
      </c>
      <c r="U237" t="str">
        <f>"Q"&amp;ROUNDUP(MONTH(tblTransactions[[#This Row],[Date]])/3,0)</f>
        <v>Q3</v>
      </c>
      <c r="V237">
        <f>MONTH(tblTransactions[[#This Row],[Date]])</f>
        <v>9</v>
      </c>
    </row>
    <row r="238" spans="1:22" x14ac:dyDescent="0.4">
      <c r="A238" t="s">
        <v>312</v>
      </c>
      <c r="B238" s="2">
        <v>46293</v>
      </c>
      <c r="C238">
        <v>2026</v>
      </c>
      <c r="D238" t="s">
        <v>68</v>
      </c>
      <c r="E238" t="s">
        <v>45</v>
      </c>
      <c r="F238" t="s">
        <v>25</v>
      </c>
      <c r="G238" t="s">
        <v>70</v>
      </c>
      <c r="H238" t="s">
        <v>71</v>
      </c>
      <c r="I238" t="s">
        <v>44</v>
      </c>
      <c r="J238" t="s">
        <v>29</v>
      </c>
      <c r="K238" t="s">
        <v>71</v>
      </c>
      <c r="L238" s="3">
        <v>14203</v>
      </c>
      <c r="M238" s="3">
        <v>4200</v>
      </c>
      <c r="N238" t="s">
        <v>30</v>
      </c>
      <c r="O238" t="s">
        <v>55</v>
      </c>
      <c r="P238" t="s">
        <v>32</v>
      </c>
      <c r="Q238" t="s">
        <v>34</v>
      </c>
      <c r="R238" t="s">
        <v>34</v>
      </c>
      <c r="S238" s="3">
        <v>-288749</v>
      </c>
      <c r="T238" t="str">
        <f>TEXT(tblTransactions[[#This Row],[Date]],"mmm")</f>
        <v>Sep</v>
      </c>
      <c r="U238" t="str">
        <f>"Q"&amp;ROUNDUP(MONTH(tblTransactions[[#This Row],[Date]])/3,0)</f>
        <v>Q3</v>
      </c>
      <c r="V238">
        <f>MONTH(tblTransactions[[#This Row],[Date]])</f>
        <v>9</v>
      </c>
    </row>
    <row r="239" spans="1:22" x14ac:dyDescent="0.4">
      <c r="A239" t="s">
        <v>313</v>
      </c>
      <c r="B239" s="2">
        <v>46294</v>
      </c>
      <c r="C239">
        <v>2026</v>
      </c>
      <c r="D239" t="s">
        <v>44</v>
      </c>
      <c r="E239" t="s">
        <v>24</v>
      </c>
      <c r="F239" t="s">
        <v>25</v>
      </c>
      <c r="G239" t="s">
        <v>70</v>
      </c>
      <c r="H239" t="s">
        <v>71</v>
      </c>
      <c r="I239" t="s">
        <v>58</v>
      </c>
      <c r="J239" t="s">
        <v>111</v>
      </c>
      <c r="K239" t="s">
        <v>71</v>
      </c>
      <c r="L239" s="3">
        <v>15931</v>
      </c>
      <c r="M239" s="3">
        <v>8155</v>
      </c>
      <c r="N239" t="s">
        <v>41</v>
      </c>
      <c r="O239" t="s">
        <v>31</v>
      </c>
      <c r="P239" t="s">
        <v>32</v>
      </c>
      <c r="Q239" t="s">
        <v>34</v>
      </c>
      <c r="R239" t="s">
        <v>33</v>
      </c>
      <c r="S239" s="3">
        <v>-304680</v>
      </c>
      <c r="T239" t="str">
        <f>TEXT(tblTransactions[[#This Row],[Date]],"mmm")</f>
        <v>Sep</v>
      </c>
      <c r="U239" t="str">
        <f>"Q"&amp;ROUNDUP(MONTH(tblTransactions[[#This Row],[Date]])/3,0)</f>
        <v>Q3</v>
      </c>
      <c r="V239">
        <f>MONTH(tblTransactions[[#This Row],[Date]])</f>
        <v>9</v>
      </c>
    </row>
    <row r="240" spans="1:22" x14ac:dyDescent="0.4">
      <c r="A240" t="s">
        <v>314</v>
      </c>
      <c r="B240" s="2">
        <v>46295</v>
      </c>
      <c r="C240">
        <v>2026</v>
      </c>
      <c r="D240" t="s">
        <v>68</v>
      </c>
      <c r="E240" t="s">
        <v>45</v>
      </c>
      <c r="F240" t="s">
        <v>25</v>
      </c>
      <c r="G240" t="s">
        <v>104</v>
      </c>
      <c r="H240" t="s">
        <v>105</v>
      </c>
      <c r="I240" t="s">
        <v>44</v>
      </c>
      <c r="J240" t="s">
        <v>65</v>
      </c>
      <c r="K240" t="s">
        <v>105</v>
      </c>
      <c r="L240" s="3">
        <v>9266</v>
      </c>
      <c r="M240" s="3">
        <v>12679</v>
      </c>
      <c r="N240" t="s">
        <v>30</v>
      </c>
      <c r="O240" t="s">
        <v>55</v>
      </c>
      <c r="P240" t="s">
        <v>32</v>
      </c>
      <c r="Q240" t="s">
        <v>34</v>
      </c>
      <c r="R240" t="s">
        <v>34</v>
      </c>
      <c r="S240" s="3">
        <v>-313946</v>
      </c>
      <c r="T240" t="str">
        <f>TEXT(tblTransactions[[#This Row],[Date]],"mmm")</f>
        <v>Sep</v>
      </c>
      <c r="U240" t="str">
        <f>"Q"&amp;ROUNDUP(MONTH(tblTransactions[[#This Row],[Date]])/3,0)</f>
        <v>Q3</v>
      </c>
      <c r="V240">
        <f>MONTH(tblTransactions[[#This Row],[Date]])</f>
        <v>9</v>
      </c>
    </row>
    <row r="241" spans="1:22" x14ac:dyDescent="0.4">
      <c r="A241" t="s">
        <v>315</v>
      </c>
      <c r="B241" s="2">
        <v>46296</v>
      </c>
      <c r="C241">
        <v>2026</v>
      </c>
      <c r="D241" t="s">
        <v>23</v>
      </c>
      <c r="E241" t="s">
        <v>36</v>
      </c>
      <c r="F241" t="s">
        <v>25</v>
      </c>
      <c r="G241" t="s">
        <v>98</v>
      </c>
      <c r="H241" t="s">
        <v>99</v>
      </c>
      <c r="I241" t="s">
        <v>58</v>
      </c>
      <c r="J241" t="s">
        <v>74</v>
      </c>
      <c r="K241" t="s">
        <v>99</v>
      </c>
      <c r="L241" s="3">
        <v>8956</v>
      </c>
      <c r="M241" s="3">
        <v>13751</v>
      </c>
      <c r="N241" t="s">
        <v>60</v>
      </c>
      <c r="O241" t="s">
        <v>55</v>
      </c>
      <c r="P241" t="s">
        <v>32</v>
      </c>
      <c r="Q241" t="s">
        <v>34</v>
      </c>
      <c r="R241" t="s">
        <v>33</v>
      </c>
      <c r="S241" s="3">
        <v>-322902</v>
      </c>
      <c r="T241" t="str">
        <f>TEXT(tblTransactions[[#This Row],[Date]],"mmm")</f>
        <v>Oct</v>
      </c>
      <c r="U241" t="str">
        <f>"Q"&amp;ROUNDUP(MONTH(tblTransactions[[#This Row],[Date]])/3,0)</f>
        <v>Q4</v>
      </c>
      <c r="V241">
        <f>MONTH(tblTransactions[[#This Row],[Date]])</f>
        <v>10</v>
      </c>
    </row>
    <row r="242" spans="1:22" x14ac:dyDescent="0.4">
      <c r="A242" t="s">
        <v>316</v>
      </c>
      <c r="B242" s="2">
        <v>46297</v>
      </c>
      <c r="C242">
        <v>2026</v>
      </c>
      <c r="D242" t="s">
        <v>23</v>
      </c>
      <c r="E242" t="s">
        <v>86</v>
      </c>
      <c r="F242" t="s">
        <v>25</v>
      </c>
      <c r="G242" t="s">
        <v>70</v>
      </c>
      <c r="H242" t="s">
        <v>71</v>
      </c>
      <c r="I242" t="s">
        <v>58</v>
      </c>
      <c r="J242" t="s">
        <v>74</v>
      </c>
      <c r="K242" t="s">
        <v>71</v>
      </c>
      <c r="L242" s="3">
        <v>16620</v>
      </c>
      <c r="M242" s="3">
        <v>16891</v>
      </c>
      <c r="N242" t="s">
        <v>54</v>
      </c>
      <c r="O242" t="s">
        <v>50</v>
      </c>
      <c r="P242" t="s">
        <v>32</v>
      </c>
      <c r="Q242" t="s">
        <v>34</v>
      </c>
      <c r="R242" t="s">
        <v>34</v>
      </c>
      <c r="S242" s="3">
        <v>-339522</v>
      </c>
      <c r="T242" t="str">
        <f>TEXT(tblTransactions[[#This Row],[Date]],"mmm")</f>
        <v>Oct</v>
      </c>
      <c r="U242" t="str">
        <f>"Q"&amp;ROUNDUP(MONTH(tblTransactions[[#This Row],[Date]])/3,0)</f>
        <v>Q4</v>
      </c>
      <c r="V242">
        <f>MONTH(tblTransactions[[#This Row],[Date]])</f>
        <v>10</v>
      </c>
    </row>
    <row r="243" spans="1:22" x14ac:dyDescent="0.4">
      <c r="A243" t="s">
        <v>317</v>
      </c>
      <c r="B243" s="2">
        <v>46298</v>
      </c>
      <c r="C243">
        <v>2026</v>
      </c>
      <c r="D243" t="s">
        <v>44</v>
      </c>
      <c r="E243" t="s">
        <v>24</v>
      </c>
      <c r="F243" t="s">
        <v>25</v>
      </c>
      <c r="G243" t="s">
        <v>70</v>
      </c>
      <c r="H243" t="s">
        <v>71</v>
      </c>
      <c r="I243" t="s">
        <v>39</v>
      </c>
      <c r="J243" t="s">
        <v>29</v>
      </c>
      <c r="K243" t="s">
        <v>71</v>
      </c>
      <c r="L243" s="3">
        <v>1500</v>
      </c>
      <c r="M243" s="3">
        <v>12122</v>
      </c>
      <c r="N243" t="s">
        <v>30</v>
      </c>
      <c r="O243" t="s">
        <v>50</v>
      </c>
      <c r="P243" t="s">
        <v>32</v>
      </c>
      <c r="Q243" t="s">
        <v>34</v>
      </c>
      <c r="R243" t="s">
        <v>34</v>
      </c>
      <c r="S243" s="3">
        <v>-341022</v>
      </c>
      <c r="T243" t="str">
        <f>TEXT(tblTransactions[[#This Row],[Date]],"mmm")</f>
        <v>Oct</v>
      </c>
      <c r="U243" t="str">
        <f>"Q"&amp;ROUNDUP(MONTH(tblTransactions[[#This Row],[Date]])/3,0)</f>
        <v>Q4</v>
      </c>
      <c r="V243">
        <f>MONTH(tblTransactions[[#This Row],[Date]])</f>
        <v>10</v>
      </c>
    </row>
    <row r="244" spans="1:22" x14ac:dyDescent="0.4">
      <c r="A244" t="s">
        <v>318</v>
      </c>
      <c r="B244" s="2">
        <v>46299</v>
      </c>
      <c r="C244">
        <v>2026</v>
      </c>
      <c r="D244" t="s">
        <v>23</v>
      </c>
      <c r="E244" t="s">
        <v>86</v>
      </c>
      <c r="F244" t="s">
        <v>25</v>
      </c>
      <c r="G244" t="s">
        <v>98</v>
      </c>
      <c r="H244" t="s">
        <v>99</v>
      </c>
      <c r="I244" t="s">
        <v>58</v>
      </c>
      <c r="J244" t="s">
        <v>65</v>
      </c>
      <c r="K244" t="s">
        <v>99</v>
      </c>
      <c r="L244" s="3">
        <v>18626</v>
      </c>
      <c r="M244" s="3">
        <v>14553</v>
      </c>
      <c r="N244" t="s">
        <v>30</v>
      </c>
      <c r="O244" t="s">
        <v>31</v>
      </c>
      <c r="P244" t="s">
        <v>32</v>
      </c>
      <c r="Q244" t="s">
        <v>33</v>
      </c>
      <c r="R244" t="s">
        <v>33</v>
      </c>
      <c r="S244" s="3">
        <v>-359648</v>
      </c>
      <c r="T244" t="str">
        <f>TEXT(tblTransactions[[#This Row],[Date]],"mmm")</f>
        <v>Oct</v>
      </c>
      <c r="U244" t="str">
        <f>"Q"&amp;ROUNDUP(MONTH(tblTransactions[[#This Row],[Date]])/3,0)</f>
        <v>Q4</v>
      </c>
      <c r="V244">
        <f>MONTH(tblTransactions[[#This Row],[Date]])</f>
        <v>10</v>
      </c>
    </row>
    <row r="245" spans="1:22" x14ac:dyDescent="0.4">
      <c r="A245" t="s">
        <v>319</v>
      </c>
      <c r="B245" s="2">
        <v>46300</v>
      </c>
      <c r="C245">
        <v>2026</v>
      </c>
      <c r="D245" t="s">
        <v>44</v>
      </c>
      <c r="E245" t="s">
        <v>86</v>
      </c>
      <c r="F245" t="s">
        <v>25</v>
      </c>
      <c r="G245" t="s">
        <v>26</v>
      </c>
      <c r="H245" t="s">
        <v>27</v>
      </c>
      <c r="I245" t="s">
        <v>39</v>
      </c>
      <c r="J245" t="s">
        <v>29</v>
      </c>
      <c r="K245" t="s">
        <v>27</v>
      </c>
      <c r="L245" s="3">
        <v>12245</v>
      </c>
      <c r="M245" s="3">
        <v>2219</v>
      </c>
      <c r="N245" t="s">
        <v>54</v>
      </c>
      <c r="O245" t="s">
        <v>55</v>
      </c>
      <c r="P245" t="s">
        <v>32</v>
      </c>
      <c r="Q245" t="s">
        <v>33</v>
      </c>
      <c r="R245" t="s">
        <v>33</v>
      </c>
      <c r="S245" s="3">
        <v>-371893</v>
      </c>
      <c r="T245" t="str">
        <f>TEXT(tblTransactions[[#This Row],[Date]],"mmm")</f>
        <v>Oct</v>
      </c>
      <c r="U245" t="str">
        <f>"Q"&amp;ROUNDUP(MONTH(tblTransactions[[#This Row],[Date]])/3,0)</f>
        <v>Q4</v>
      </c>
      <c r="V245">
        <f>MONTH(tblTransactions[[#This Row],[Date]])</f>
        <v>10</v>
      </c>
    </row>
    <row r="246" spans="1:22" x14ac:dyDescent="0.4">
      <c r="A246" t="s">
        <v>320</v>
      </c>
      <c r="B246" s="2">
        <v>46301</v>
      </c>
      <c r="C246">
        <v>2026</v>
      </c>
      <c r="D246" t="s">
        <v>68</v>
      </c>
      <c r="E246" t="s">
        <v>24</v>
      </c>
      <c r="F246" t="s">
        <v>25</v>
      </c>
      <c r="G246" t="s">
        <v>104</v>
      </c>
      <c r="H246" t="s">
        <v>105</v>
      </c>
      <c r="I246" t="s">
        <v>39</v>
      </c>
      <c r="J246" t="s">
        <v>65</v>
      </c>
      <c r="K246" t="s">
        <v>105</v>
      </c>
      <c r="L246" s="3">
        <v>12997</v>
      </c>
      <c r="M246" s="3">
        <v>13802</v>
      </c>
      <c r="N246" t="s">
        <v>60</v>
      </c>
      <c r="O246" t="s">
        <v>55</v>
      </c>
      <c r="P246" t="s">
        <v>32</v>
      </c>
      <c r="Q246" t="s">
        <v>33</v>
      </c>
      <c r="R246" t="s">
        <v>34</v>
      </c>
      <c r="S246" s="3">
        <v>-384890</v>
      </c>
      <c r="T246" t="str">
        <f>TEXT(tblTransactions[[#This Row],[Date]],"mmm")</f>
        <v>Oct</v>
      </c>
      <c r="U246" t="str">
        <f>"Q"&amp;ROUNDUP(MONTH(tblTransactions[[#This Row],[Date]])/3,0)</f>
        <v>Q4</v>
      </c>
      <c r="V246">
        <f>MONTH(tblTransactions[[#This Row],[Date]])</f>
        <v>10</v>
      </c>
    </row>
    <row r="247" spans="1:22" x14ac:dyDescent="0.4">
      <c r="A247" t="s">
        <v>321</v>
      </c>
      <c r="B247" s="2">
        <v>46303</v>
      </c>
      <c r="C247">
        <v>2026</v>
      </c>
      <c r="D247" t="s">
        <v>44</v>
      </c>
      <c r="E247" t="s">
        <v>45</v>
      </c>
      <c r="F247" t="s">
        <v>25</v>
      </c>
      <c r="G247" t="s">
        <v>46</v>
      </c>
      <c r="H247" t="s">
        <v>47</v>
      </c>
      <c r="I247" t="s">
        <v>53</v>
      </c>
      <c r="J247" t="s">
        <v>29</v>
      </c>
      <c r="K247" t="s">
        <v>47</v>
      </c>
      <c r="L247" s="3">
        <v>7236</v>
      </c>
      <c r="M247" s="3">
        <v>13841</v>
      </c>
      <c r="N247" t="s">
        <v>54</v>
      </c>
      <c r="O247" t="s">
        <v>42</v>
      </c>
      <c r="P247" t="s">
        <v>32</v>
      </c>
      <c r="Q247" t="s">
        <v>33</v>
      </c>
      <c r="R247" t="s">
        <v>34</v>
      </c>
      <c r="S247" s="3">
        <v>-392126</v>
      </c>
      <c r="T247" t="str">
        <f>TEXT(tblTransactions[[#This Row],[Date]],"mmm")</f>
        <v>Oct</v>
      </c>
      <c r="U247" t="str">
        <f>"Q"&amp;ROUNDUP(MONTH(tblTransactions[[#This Row],[Date]])/3,0)</f>
        <v>Q4</v>
      </c>
      <c r="V247">
        <f>MONTH(tblTransactions[[#This Row],[Date]])</f>
        <v>10</v>
      </c>
    </row>
    <row r="248" spans="1:22" x14ac:dyDescent="0.4">
      <c r="A248" t="s">
        <v>322</v>
      </c>
      <c r="B248" s="2">
        <v>46304</v>
      </c>
      <c r="C248">
        <v>2026</v>
      </c>
      <c r="D248" t="s">
        <v>23</v>
      </c>
      <c r="E248" t="s">
        <v>86</v>
      </c>
      <c r="F248" t="s">
        <v>37</v>
      </c>
      <c r="G248" t="s">
        <v>52</v>
      </c>
      <c r="H248" t="s">
        <v>52</v>
      </c>
      <c r="I248" t="s">
        <v>39</v>
      </c>
      <c r="J248" t="s">
        <v>90</v>
      </c>
      <c r="K248" t="s">
        <v>52</v>
      </c>
      <c r="L248" s="3">
        <v>8468</v>
      </c>
      <c r="M248" s="3">
        <v>0</v>
      </c>
      <c r="N248" t="s">
        <v>54</v>
      </c>
      <c r="O248" t="s">
        <v>50</v>
      </c>
      <c r="P248" t="s">
        <v>32</v>
      </c>
      <c r="Q248" t="s">
        <v>34</v>
      </c>
      <c r="R248" t="s">
        <v>33</v>
      </c>
      <c r="S248" s="3">
        <v>-383658</v>
      </c>
      <c r="T248" t="str">
        <f>TEXT(tblTransactions[[#This Row],[Date]],"mmm")</f>
        <v>Oct</v>
      </c>
      <c r="U248" t="str">
        <f>"Q"&amp;ROUNDUP(MONTH(tblTransactions[[#This Row],[Date]])/3,0)</f>
        <v>Q4</v>
      </c>
      <c r="V248">
        <f>MONTH(tblTransactions[[#This Row],[Date]])</f>
        <v>10</v>
      </c>
    </row>
    <row r="249" spans="1:22" x14ac:dyDescent="0.4">
      <c r="A249" t="s">
        <v>323</v>
      </c>
      <c r="B249" s="2">
        <v>46305</v>
      </c>
      <c r="C249">
        <v>2026</v>
      </c>
      <c r="D249" t="s">
        <v>23</v>
      </c>
      <c r="E249" t="s">
        <v>86</v>
      </c>
      <c r="F249" t="s">
        <v>37</v>
      </c>
      <c r="G249" t="s">
        <v>77</v>
      </c>
      <c r="H249" t="s">
        <v>78</v>
      </c>
      <c r="I249" t="s">
        <v>58</v>
      </c>
      <c r="J249" t="s">
        <v>59</v>
      </c>
      <c r="K249" t="s">
        <v>78</v>
      </c>
      <c r="L249" s="3">
        <v>34949</v>
      </c>
      <c r="M249" s="3">
        <v>0</v>
      </c>
      <c r="N249" t="s">
        <v>41</v>
      </c>
      <c r="O249" t="s">
        <v>42</v>
      </c>
      <c r="P249" t="s">
        <v>32</v>
      </c>
      <c r="Q249" t="s">
        <v>34</v>
      </c>
      <c r="R249" t="s">
        <v>34</v>
      </c>
      <c r="S249" s="3">
        <v>-348709</v>
      </c>
      <c r="T249" t="str">
        <f>TEXT(tblTransactions[[#This Row],[Date]],"mmm")</f>
        <v>Oct</v>
      </c>
      <c r="U249" t="str">
        <f>"Q"&amp;ROUNDUP(MONTH(tblTransactions[[#This Row],[Date]])/3,0)</f>
        <v>Q4</v>
      </c>
      <c r="V249">
        <f>MONTH(tblTransactions[[#This Row],[Date]])</f>
        <v>10</v>
      </c>
    </row>
    <row r="250" spans="1:22" x14ac:dyDescent="0.4">
      <c r="A250" t="s">
        <v>324</v>
      </c>
      <c r="B250" s="2">
        <v>46306</v>
      </c>
      <c r="C250">
        <v>2026</v>
      </c>
      <c r="D250" t="s">
        <v>23</v>
      </c>
      <c r="E250" t="s">
        <v>36</v>
      </c>
      <c r="F250" t="s">
        <v>37</v>
      </c>
      <c r="G250" t="s">
        <v>38</v>
      </c>
      <c r="H250" t="s">
        <v>38</v>
      </c>
      <c r="I250" t="s">
        <v>53</v>
      </c>
      <c r="J250" t="s">
        <v>111</v>
      </c>
      <c r="K250" t="s">
        <v>38</v>
      </c>
      <c r="L250" s="3">
        <v>74448</v>
      </c>
      <c r="M250" s="3">
        <v>0</v>
      </c>
      <c r="N250" t="s">
        <v>54</v>
      </c>
      <c r="O250" t="s">
        <v>55</v>
      </c>
      <c r="P250" t="s">
        <v>32</v>
      </c>
      <c r="Q250" t="s">
        <v>33</v>
      </c>
      <c r="R250" t="s">
        <v>33</v>
      </c>
      <c r="S250" s="3">
        <v>-274261</v>
      </c>
      <c r="T250" t="str">
        <f>TEXT(tblTransactions[[#This Row],[Date]],"mmm")</f>
        <v>Oct</v>
      </c>
      <c r="U250" t="str">
        <f>"Q"&amp;ROUNDUP(MONTH(tblTransactions[[#This Row],[Date]])/3,0)</f>
        <v>Q4</v>
      </c>
      <c r="V250">
        <f>MONTH(tblTransactions[[#This Row],[Date]])</f>
        <v>10</v>
      </c>
    </row>
    <row r="251" spans="1:22" x14ac:dyDescent="0.4">
      <c r="A251" t="s">
        <v>325</v>
      </c>
      <c r="B251" s="2">
        <v>46307</v>
      </c>
      <c r="C251">
        <v>2026</v>
      </c>
      <c r="D251" t="s">
        <v>44</v>
      </c>
      <c r="E251" t="s">
        <v>36</v>
      </c>
      <c r="F251" t="s">
        <v>25</v>
      </c>
      <c r="G251" t="s">
        <v>26</v>
      </c>
      <c r="H251" t="s">
        <v>27</v>
      </c>
      <c r="I251" t="s">
        <v>53</v>
      </c>
      <c r="J251" t="s">
        <v>40</v>
      </c>
      <c r="K251" t="s">
        <v>27</v>
      </c>
      <c r="L251" s="3">
        <v>3650</v>
      </c>
      <c r="M251" s="3">
        <v>12345</v>
      </c>
      <c r="N251" t="s">
        <v>54</v>
      </c>
      <c r="O251" t="s">
        <v>42</v>
      </c>
      <c r="P251" t="s">
        <v>32</v>
      </c>
      <c r="Q251" t="s">
        <v>34</v>
      </c>
      <c r="R251" t="s">
        <v>34</v>
      </c>
      <c r="S251" s="3">
        <v>-277911</v>
      </c>
      <c r="T251" t="str">
        <f>TEXT(tblTransactions[[#This Row],[Date]],"mmm")</f>
        <v>Oct</v>
      </c>
      <c r="U251" t="str">
        <f>"Q"&amp;ROUNDUP(MONTH(tblTransactions[[#This Row],[Date]])/3,0)</f>
        <v>Q4</v>
      </c>
      <c r="V251">
        <f>MONTH(tblTransactions[[#This Row],[Date]])</f>
        <v>10</v>
      </c>
    </row>
    <row r="252" spans="1:22" x14ac:dyDescent="0.4">
      <c r="A252" t="s">
        <v>326</v>
      </c>
      <c r="B252" s="2">
        <v>46308</v>
      </c>
      <c r="C252">
        <v>2026</v>
      </c>
      <c r="D252" t="s">
        <v>44</v>
      </c>
      <c r="E252" t="s">
        <v>45</v>
      </c>
      <c r="F252" t="s">
        <v>37</v>
      </c>
      <c r="G252" t="s">
        <v>52</v>
      </c>
      <c r="H252" t="s">
        <v>52</v>
      </c>
      <c r="I252" t="s">
        <v>53</v>
      </c>
      <c r="J252" t="s">
        <v>49</v>
      </c>
      <c r="K252" t="s">
        <v>52</v>
      </c>
      <c r="L252" s="3">
        <v>49919</v>
      </c>
      <c r="M252" s="3">
        <v>0</v>
      </c>
      <c r="N252" t="s">
        <v>30</v>
      </c>
      <c r="O252" t="s">
        <v>31</v>
      </c>
      <c r="P252" t="s">
        <v>32</v>
      </c>
      <c r="Q252" t="s">
        <v>34</v>
      </c>
      <c r="R252" t="s">
        <v>34</v>
      </c>
      <c r="S252" s="3">
        <v>-227992</v>
      </c>
      <c r="T252" t="str">
        <f>TEXT(tblTransactions[[#This Row],[Date]],"mmm")</f>
        <v>Oct</v>
      </c>
      <c r="U252" t="str">
        <f>"Q"&amp;ROUNDUP(MONTH(tblTransactions[[#This Row],[Date]])/3,0)</f>
        <v>Q4</v>
      </c>
      <c r="V252">
        <f>MONTH(tblTransactions[[#This Row],[Date]])</f>
        <v>10</v>
      </c>
    </row>
    <row r="253" spans="1:22" x14ac:dyDescent="0.4">
      <c r="A253" t="s">
        <v>327</v>
      </c>
      <c r="B253" s="2">
        <v>46309</v>
      </c>
      <c r="C253">
        <v>2026</v>
      </c>
      <c r="D253" t="s">
        <v>23</v>
      </c>
      <c r="E253" t="s">
        <v>24</v>
      </c>
      <c r="F253" t="s">
        <v>37</v>
      </c>
      <c r="G253" t="s">
        <v>77</v>
      </c>
      <c r="H253" t="s">
        <v>78</v>
      </c>
      <c r="I253" t="s">
        <v>48</v>
      </c>
      <c r="J253" t="s">
        <v>90</v>
      </c>
      <c r="K253" t="s">
        <v>78</v>
      </c>
      <c r="L253" s="3">
        <v>57304</v>
      </c>
      <c r="M253" s="3">
        <v>0</v>
      </c>
      <c r="N253" t="s">
        <v>60</v>
      </c>
      <c r="O253" t="s">
        <v>50</v>
      </c>
      <c r="P253" t="s">
        <v>32</v>
      </c>
      <c r="Q253" t="s">
        <v>34</v>
      </c>
      <c r="R253" t="s">
        <v>34</v>
      </c>
      <c r="S253" s="3">
        <v>-170688</v>
      </c>
      <c r="T253" t="str">
        <f>TEXT(tblTransactions[[#This Row],[Date]],"mmm")</f>
        <v>Oct</v>
      </c>
      <c r="U253" t="str">
        <f>"Q"&amp;ROUNDUP(MONTH(tblTransactions[[#This Row],[Date]])/3,0)</f>
        <v>Q4</v>
      </c>
      <c r="V253">
        <f>MONTH(tblTransactions[[#This Row],[Date]])</f>
        <v>10</v>
      </c>
    </row>
    <row r="254" spans="1:22" x14ac:dyDescent="0.4">
      <c r="A254" t="s">
        <v>328</v>
      </c>
      <c r="B254" s="2">
        <v>46313</v>
      </c>
      <c r="C254">
        <v>2026</v>
      </c>
      <c r="D254" t="s">
        <v>68</v>
      </c>
      <c r="E254" t="s">
        <v>86</v>
      </c>
      <c r="F254" t="s">
        <v>37</v>
      </c>
      <c r="G254" t="s">
        <v>52</v>
      </c>
      <c r="H254" t="s">
        <v>52</v>
      </c>
      <c r="I254" t="s">
        <v>53</v>
      </c>
      <c r="J254" t="s">
        <v>111</v>
      </c>
      <c r="K254" t="s">
        <v>52</v>
      </c>
      <c r="L254" s="3">
        <v>64714</v>
      </c>
      <c r="M254" s="3">
        <v>0</v>
      </c>
      <c r="N254" t="s">
        <v>60</v>
      </c>
      <c r="O254" t="s">
        <v>50</v>
      </c>
      <c r="P254" t="s">
        <v>32</v>
      </c>
      <c r="Q254" t="s">
        <v>33</v>
      </c>
      <c r="R254" t="s">
        <v>34</v>
      </c>
      <c r="S254" s="3">
        <v>-105974</v>
      </c>
      <c r="T254" t="str">
        <f>TEXT(tblTransactions[[#This Row],[Date]],"mmm")</f>
        <v>Oct</v>
      </c>
      <c r="U254" t="str">
        <f>"Q"&amp;ROUNDUP(MONTH(tblTransactions[[#This Row],[Date]])/3,0)</f>
        <v>Q4</v>
      </c>
      <c r="V254">
        <f>MONTH(tblTransactions[[#This Row],[Date]])</f>
        <v>10</v>
      </c>
    </row>
    <row r="255" spans="1:22" x14ac:dyDescent="0.4">
      <c r="A255" t="s">
        <v>329</v>
      </c>
      <c r="B255" s="2">
        <v>46314</v>
      </c>
      <c r="C255">
        <v>2026</v>
      </c>
      <c r="D255" t="s">
        <v>44</v>
      </c>
      <c r="E255" t="s">
        <v>45</v>
      </c>
      <c r="F255" t="s">
        <v>25</v>
      </c>
      <c r="G255" t="s">
        <v>57</v>
      </c>
      <c r="H255" t="s">
        <v>40</v>
      </c>
      <c r="I255" t="s">
        <v>39</v>
      </c>
      <c r="J255" t="s">
        <v>59</v>
      </c>
      <c r="K255" t="s">
        <v>40</v>
      </c>
      <c r="L255" s="3">
        <v>13172</v>
      </c>
      <c r="M255" s="3">
        <v>3239</v>
      </c>
      <c r="N255" t="s">
        <v>30</v>
      </c>
      <c r="O255" t="s">
        <v>31</v>
      </c>
      <c r="P255" t="s">
        <v>32</v>
      </c>
      <c r="Q255" t="s">
        <v>34</v>
      </c>
      <c r="R255" t="s">
        <v>34</v>
      </c>
      <c r="S255" s="3">
        <v>-119146</v>
      </c>
      <c r="T255" t="str">
        <f>TEXT(tblTransactions[[#This Row],[Date]],"mmm")</f>
        <v>Oct</v>
      </c>
      <c r="U255" t="str">
        <f>"Q"&amp;ROUNDUP(MONTH(tblTransactions[[#This Row],[Date]])/3,0)</f>
        <v>Q4</v>
      </c>
      <c r="V255">
        <f>MONTH(tblTransactions[[#This Row],[Date]])</f>
        <v>10</v>
      </c>
    </row>
    <row r="256" spans="1:22" x14ac:dyDescent="0.4">
      <c r="A256" t="s">
        <v>330</v>
      </c>
      <c r="B256" s="2">
        <v>46315</v>
      </c>
      <c r="C256">
        <v>2026</v>
      </c>
      <c r="D256" t="s">
        <v>23</v>
      </c>
      <c r="E256" t="s">
        <v>86</v>
      </c>
      <c r="F256" t="s">
        <v>25</v>
      </c>
      <c r="G256" t="s">
        <v>63</v>
      </c>
      <c r="H256" t="s">
        <v>64</v>
      </c>
      <c r="I256" t="s">
        <v>58</v>
      </c>
      <c r="J256" t="s">
        <v>49</v>
      </c>
      <c r="K256" t="s">
        <v>64</v>
      </c>
      <c r="L256" s="3">
        <v>555</v>
      </c>
      <c r="M256" s="3">
        <v>1632</v>
      </c>
      <c r="N256" t="s">
        <v>30</v>
      </c>
      <c r="O256" t="s">
        <v>31</v>
      </c>
      <c r="P256" t="s">
        <v>32</v>
      </c>
      <c r="Q256" t="s">
        <v>33</v>
      </c>
      <c r="R256" t="s">
        <v>34</v>
      </c>
      <c r="S256" s="3">
        <v>-119701</v>
      </c>
      <c r="T256" t="str">
        <f>TEXT(tblTransactions[[#This Row],[Date]],"mmm")</f>
        <v>Oct</v>
      </c>
      <c r="U256" t="str">
        <f>"Q"&amp;ROUNDUP(MONTH(tblTransactions[[#This Row],[Date]])/3,0)</f>
        <v>Q4</v>
      </c>
      <c r="V256">
        <f>MONTH(tblTransactions[[#This Row],[Date]])</f>
        <v>10</v>
      </c>
    </row>
    <row r="257" spans="1:22" x14ac:dyDescent="0.4">
      <c r="A257" t="s">
        <v>331</v>
      </c>
      <c r="B257" s="2">
        <v>46316</v>
      </c>
      <c r="C257">
        <v>2026</v>
      </c>
      <c r="D257" t="s">
        <v>68</v>
      </c>
      <c r="E257" t="s">
        <v>45</v>
      </c>
      <c r="F257" t="s">
        <v>37</v>
      </c>
      <c r="G257" t="s">
        <v>77</v>
      </c>
      <c r="H257" t="s">
        <v>78</v>
      </c>
      <c r="I257" t="s">
        <v>53</v>
      </c>
      <c r="J257" t="s">
        <v>74</v>
      </c>
      <c r="K257" t="s">
        <v>78</v>
      </c>
      <c r="L257" s="3">
        <v>27236</v>
      </c>
      <c r="M257" s="3">
        <v>0</v>
      </c>
      <c r="N257" t="s">
        <v>54</v>
      </c>
      <c r="O257" t="s">
        <v>31</v>
      </c>
      <c r="P257" t="s">
        <v>32</v>
      </c>
      <c r="Q257" t="s">
        <v>33</v>
      </c>
      <c r="R257" t="s">
        <v>33</v>
      </c>
      <c r="S257" s="3">
        <v>-92465</v>
      </c>
      <c r="T257" t="str">
        <f>TEXT(tblTransactions[[#This Row],[Date]],"mmm")</f>
        <v>Oct</v>
      </c>
      <c r="U257" t="str">
        <f>"Q"&amp;ROUNDUP(MONTH(tblTransactions[[#This Row],[Date]])/3,0)</f>
        <v>Q4</v>
      </c>
      <c r="V257">
        <f>MONTH(tblTransactions[[#This Row],[Date]])</f>
        <v>10</v>
      </c>
    </row>
    <row r="258" spans="1:22" x14ac:dyDescent="0.4">
      <c r="A258" t="s">
        <v>332</v>
      </c>
      <c r="B258" s="2">
        <v>46317</v>
      </c>
      <c r="C258">
        <v>2026</v>
      </c>
      <c r="D258" t="s">
        <v>44</v>
      </c>
      <c r="E258" t="s">
        <v>24</v>
      </c>
      <c r="F258" t="s">
        <v>25</v>
      </c>
      <c r="G258" t="s">
        <v>104</v>
      </c>
      <c r="H258" t="s">
        <v>105</v>
      </c>
      <c r="I258" t="s">
        <v>28</v>
      </c>
      <c r="J258" t="s">
        <v>65</v>
      </c>
      <c r="K258" t="s">
        <v>105</v>
      </c>
      <c r="L258" s="3">
        <v>12431</v>
      </c>
      <c r="M258" s="3">
        <v>10327</v>
      </c>
      <c r="N258" t="s">
        <v>30</v>
      </c>
      <c r="O258" t="s">
        <v>42</v>
      </c>
      <c r="P258" t="s">
        <v>32</v>
      </c>
      <c r="Q258" t="s">
        <v>33</v>
      </c>
      <c r="R258" t="s">
        <v>34</v>
      </c>
      <c r="S258" s="3">
        <v>-104896</v>
      </c>
      <c r="T258" t="str">
        <f>TEXT(tblTransactions[[#This Row],[Date]],"mmm")</f>
        <v>Oct</v>
      </c>
      <c r="U258" t="str">
        <f>"Q"&amp;ROUNDUP(MONTH(tblTransactions[[#This Row],[Date]])/3,0)</f>
        <v>Q4</v>
      </c>
      <c r="V258">
        <f>MONTH(tblTransactions[[#This Row],[Date]])</f>
        <v>10</v>
      </c>
    </row>
    <row r="259" spans="1:22" x14ac:dyDescent="0.4">
      <c r="A259" t="s">
        <v>333</v>
      </c>
      <c r="B259" s="2">
        <v>46318</v>
      </c>
      <c r="C259">
        <v>2026</v>
      </c>
      <c r="D259" t="s">
        <v>68</v>
      </c>
      <c r="E259" t="s">
        <v>24</v>
      </c>
      <c r="F259" t="s">
        <v>25</v>
      </c>
      <c r="G259" t="s">
        <v>63</v>
      </c>
      <c r="H259" t="s">
        <v>64</v>
      </c>
      <c r="I259" t="s">
        <v>39</v>
      </c>
      <c r="J259" t="s">
        <v>74</v>
      </c>
      <c r="K259" t="s">
        <v>64</v>
      </c>
      <c r="L259" s="3">
        <v>1230</v>
      </c>
      <c r="M259" s="3">
        <v>13233</v>
      </c>
      <c r="N259" t="s">
        <v>41</v>
      </c>
      <c r="O259" t="s">
        <v>31</v>
      </c>
      <c r="P259" t="s">
        <v>32</v>
      </c>
      <c r="Q259" t="s">
        <v>34</v>
      </c>
      <c r="R259" t="s">
        <v>34</v>
      </c>
      <c r="S259" s="3">
        <v>-106126</v>
      </c>
      <c r="T259" t="str">
        <f>TEXT(tblTransactions[[#This Row],[Date]],"mmm")</f>
        <v>Oct</v>
      </c>
      <c r="U259" t="str">
        <f>"Q"&amp;ROUNDUP(MONTH(tblTransactions[[#This Row],[Date]])/3,0)</f>
        <v>Q4</v>
      </c>
      <c r="V259">
        <f>MONTH(tblTransactions[[#This Row],[Date]])</f>
        <v>10</v>
      </c>
    </row>
    <row r="260" spans="1:22" x14ac:dyDescent="0.4">
      <c r="A260" t="s">
        <v>334</v>
      </c>
      <c r="B260" s="2">
        <v>46319</v>
      </c>
      <c r="C260">
        <v>2026</v>
      </c>
      <c r="D260" t="s">
        <v>68</v>
      </c>
      <c r="E260" t="s">
        <v>36</v>
      </c>
      <c r="F260" t="s">
        <v>25</v>
      </c>
      <c r="G260" t="s">
        <v>73</v>
      </c>
      <c r="H260" t="s">
        <v>74</v>
      </c>
      <c r="I260" t="s">
        <v>48</v>
      </c>
      <c r="J260" t="s">
        <v>65</v>
      </c>
      <c r="K260" t="s">
        <v>74</v>
      </c>
      <c r="L260" s="3">
        <v>9889</v>
      </c>
      <c r="M260" s="3">
        <v>8281</v>
      </c>
      <c r="N260" t="s">
        <v>30</v>
      </c>
      <c r="O260" t="s">
        <v>42</v>
      </c>
      <c r="P260" t="s">
        <v>32</v>
      </c>
      <c r="Q260" t="s">
        <v>33</v>
      </c>
      <c r="R260" t="s">
        <v>33</v>
      </c>
      <c r="S260" s="3">
        <v>-116015</v>
      </c>
      <c r="T260" t="str">
        <f>TEXT(tblTransactions[[#This Row],[Date]],"mmm")</f>
        <v>Oct</v>
      </c>
      <c r="U260" t="str">
        <f>"Q"&amp;ROUNDUP(MONTH(tblTransactions[[#This Row],[Date]])/3,0)</f>
        <v>Q4</v>
      </c>
      <c r="V260">
        <f>MONTH(tblTransactions[[#This Row],[Date]])</f>
        <v>10</v>
      </c>
    </row>
    <row r="261" spans="1:22" x14ac:dyDescent="0.4">
      <c r="A261" t="s">
        <v>335</v>
      </c>
      <c r="B261" s="2">
        <v>46320</v>
      </c>
      <c r="C261">
        <v>2026</v>
      </c>
      <c r="D261" t="s">
        <v>68</v>
      </c>
      <c r="E261" t="s">
        <v>45</v>
      </c>
      <c r="F261" t="s">
        <v>25</v>
      </c>
      <c r="G261" t="s">
        <v>98</v>
      </c>
      <c r="H261" t="s">
        <v>99</v>
      </c>
      <c r="I261" t="s">
        <v>53</v>
      </c>
      <c r="J261" t="s">
        <v>65</v>
      </c>
      <c r="K261" t="s">
        <v>99</v>
      </c>
      <c r="L261" s="3">
        <v>9066</v>
      </c>
      <c r="M261" s="3">
        <v>9586</v>
      </c>
      <c r="N261" t="s">
        <v>54</v>
      </c>
      <c r="O261" t="s">
        <v>50</v>
      </c>
      <c r="P261" t="s">
        <v>32</v>
      </c>
      <c r="Q261" t="s">
        <v>34</v>
      </c>
      <c r="R261" t="s">
        <v>34</v>
      </c>
      <c r="S261" s="3">
        <v>-125081</v>
      </c>
      <c r="T261" t="str">
        <f>TEXT(tblTransactions[[#This Row],[Date]],"mmm")</f>
        <v>Oct</v>
      </c>
      <c r="U261" t="str">
        <f>"Q"&amp;ROUNDUP(MONTH(tblTransactions[[#This Row],[Date]])/3,0)</f>
        <v>Q4</v>
      </c>
      <c r="V261">
        <f>MONTH(tblTransactions[[#This Row],[Date]])</f>
        <v>10</v>
      </c>
    </row>
    <row r="262" spans="1:22" x14ac:dyDescent="0.4">
      <c r="A262" t="s">
        <v>336</v>
      </c>
      <c r="B262" s="2">
        <v>46321</v>
      </c>
      <c r="C262">
        <v>2026</v>
      </c>
      <c r="D262" t="s">
        <v>68</v>
      </c>
      <c r="E262" t="s">
        <v>24</v>
      </c>
      <c r="F262" t="s">
        <v>37</v>
      </c>
      <c r="G262" t="s">
        <v>77</v>
      </c>
      <c r="H262" t="s">
        <v>78</v>
      </c>
      <c r="I262" t="s">
        <v>53</v>
      </c>
      <c r="J262" t="s">
        <v>90</v>
      </c>
      <c r="K262" t="s">
        <v>78</v>
      </c>
      <c r="L262" s="3">
        <v>35858</v>
      </c>
      <c r="M262" s="3">
        <v>0</v>
      </c>
      <c r="N262" t="s">
        <v>41</v>
      </c>
      <c r="O262" t="s">
        <v>31</v>
      </c>
      <c r="P262" t="s">
        <v>32</v>
      </c>
      <c r="Q262" t="s">
        <v>34</v>
      </c>
      <c r="R262" t="s">
        <v>34</v>
      </c>
      <c r="S262" s="3">
        <v>-89223</v>
      </c>
      <c r="T262" t="str">
        <f>TEXT(tblTransactions[[#This Row],[Date]],"mmm")</f>
        <v>Oct</v>
      </c>
      <c r="U262" t="str">
        <f>"Q"&amp;ROUNDUP(MONTH(tblTransactions[[#This Row],[Date]])/3,0)</f>
        <v>Q4</v>
      </c>
      <c r="V262">
        <f>MONTH(tblTransactions[[#This Row],[Date]])</f>
        <v>10</v>
      </c>
    </row>
    <row r="263" spans="1:22" x14ac:dyDescent="0.4">
      <c r="A263" t="s">
        <v>337</v>
      </c>
      <c r="B263" s="2">
        <v>46322</v>
      </c>
      <c r="C263">
        <v>2026</v>
      </c>
      <c r="D263" t="s">
        <v>23</v>
      </c>
      <c r="E263" t="s">
        <v>86</v>
      </c>
      <c r="F263" t="s">
        <v>25</v>
      </c>
      <c r="G263" t="s">
        <v>26</v>
      </c>
      <c r="H263" t="s">
        <v>27</v>
      </c>
      <c r="I263" t="s">
        <v>53</v>
      </c>
      <c r="J263" t="s">
        <v>49</v>
      </c>
      <c r="K263" t="s">
        <v>27</v>
      </c>
      <c r="L263" s="3">
        <v>15262</v>
      </c>
      <c r="M263" s="3">
        <v>13337</v>
      </c>
      <c r="N263" t="s">
        <v>54</v>
      </c>
      <c r="O263" t="s">
        <v>55</v>
      </c>
      <c r="P263" t="s">
        <v>32</v>
      </c>
      <c r="Q263" t="s">
        <v>34</v>
      </c>
      <c r="R263" t="s">
        <v>34</v>
      </c>
      <c r="S263" s="3">
        <v>-104485</v>
      </c>
      <c r="T263" t="str">
        <f>TEXT(tblTransactions[[#This Row],[Date]],"mmm")</f>
        <v>Oct</v>
      </c>
      <c r="U263" t="str">
        <f>"Q"&amp;ROUNDUP(MONTH(tblTransactions[[#This Row],[Date]])/3,0)</f>
        <v>Q4</v>
      </c>
      <c r="V263">
        <f>MONTH(tblTransactions[[#This Row],[Date]])</f>
        <v>10</v>
      </c>
    </row>
    <row r="264" spans="1:22" x14ac:dyDescent="0.4">
      <c r="A264" t="s">
        <v>338</v>
      </c>
      <c r="B264" s="2">
        <v>46323</v>
      </c>
      <c r="C264">
        <v>2026</v>
      </c>
      <c r="D264" t="s">
        <v>23</v>
      </c>
      <c r="E264" t="s">
        <v>86</v>
      </c>
      <c r="F264" t="s">
        <v>25</v>
      </c>
      <c r="G264" t="s">
        <v>98</v>
      </c>
      <c r="H264" t="s">
        <v>99</v>
      </c>
      <c r="I264" t="s">
        <v>39</v>
      </c>
      <c r="J264" t="s">
        <v>65</v>
      </c>
      <c r="K264" t="s">
        <v>99</v>
      </c>
      <c r="L264" s="3">
        <v>1102</v>
      </c>
      <c r="M264" s="3">
        <v>15094</v>
      </c>
      <c r="N264" t="s">
        <v>60</v>
      </c>
      <c r="O264" t="s">
        <v>55</v>
      </c>
      <c r="P264" t="s">
        <v>32</v>
      </c>
      <c r="Q264" t="s">
        <v>33</v>
      </c>
      <c r="R264" t="s">
        <v>34</v>
      </c>
      <c r="S264" s="3">
        <v>-105587</v>
      </c>
      <c r="T264" t="str">
        <f>TEXT(tblTransactions[[#This Row],[Date]],"mmm")</f>
        <v>Oct</v>
      </c>
      <c r="U264" t="str">
        <f>"Q"&amp;ROUNDUP(MONTH(tblTransactions[[#This Row],[Date]])/3,0)</f>
        <v>Q4</v>
      </c>
      <c r="V264">
        <f>MONTH(tblTransactions[[#This Row],[Date]])</f>
        <v>10</v>
      </c>
    </row>
    <row r="265" spans="1:22" x14ac:dyDescent="0.4">
      <c r="A265" t="s">
        <v>339</v>
      </c>
      <c r="B265" s="2">
        <v>46324</v>
      </c>
      <c r="C265">
        <v>2026</v>
      </c>
      <c r="D265" t="s">
        <v>44</v>
      </c>
      <c r="E265" t="s">
        <v>86</v>
      </c>
      <c r="F265" t="s">
        <v>25</v>
      </c>
      <c r="G265" t="s">
        <v>98</v>
      </c>
      <c r="H265" t="s">
        <v>99</v>
      </c>
      <c r="I265" t="s">
        <v>48</v>
      </c>
      <c r="J265" t="s">
        <v>74</v>
      </c>
      <c r="K265" t="s">
        <v>99</v>
      </c>
      <c r="L265" s="3">
        <v>122</v>
      </c>
      <c r="M265" s="3">
        <v>4488</v>
      </c>
      <c r="N265" t="s">
        <v>54</v>
      </c>
      <c r="O265" t="s">
        <v>31</v>
      </c>
      <c r="P265" t="s">
        <v>32</v>
      </c>
      <c r="Q265" t="s">
        <v>34</v>
      </c>
      <c r="R265" t="s">
        <v>33</v>
      </c>
      <c r="S265" s="3">
        <v>-105709</v>
      </c>
      <c r="T265" t="str">
        <f>TEXT(tblTransactions[[#This Row],[Date]],"mmm")</f>
        <v>Oct</v>
      </c>
      <c r="U265" t="str">
        <f>"Q"&amp;ROUNDUP(MONTH(tblTransactions[[#This Row],[Date]])/3,0)</f>
        <v>Q4</v>
      </c>
      <c r="V265">
        <f>MONTH(tblTransactions[[#This Row],[Date]])</f>
        <v>10</v>
      </c>
    </row>
    <row r="266" spans="1:22" x14ac:dyDescent="0.4">
      <c r="A266" t="s">
        <v>340</v>
      </c>
      <c r="B266" s="2">
        <v>46325</v>
      </c>
      <c r="C266">
        <v>2026</v>
      </c>
      <c r="D266" t="s">
        <v>68</v>
      </c>
      <c r="E266" t="s">
        <v>36</v>
      </c>
      <c r="F266" t="s">
        <v>25</v>
      </c>
      <c r="G266" t="s">
        <v>26</v>
      </c>
      <c r="H266" t="s">
        <v>27</v>
      </c>
      <c r="I266" t="s">
        <v>28</v>
      </c>
      <c r="J266" t="s">
        <v>74</v>
      </c>
      <c r="K266" t="s">
        <v>27</v>
      </c>
      <c r="L266" s="3">
        <v>19274</v>
      </c>
      <c r="M266" s="3">
        <v>16631</v>
      </c>
      <c r="N266" t="s">
        <v>60</v>
      </c>
      <c r="O266" t="s">
        <v>42</v>
      </c>
      <c r="P266" t="s">
        <v>32</v>
      </c>
      <c r="Q266" t="s">
        <v>33</v>
      </c>
      <c r="R266" t="s">
        <v>34</v>
      </c>
      <c r="S266" s="3">
        <v>-124983</v>
      </c>
      <c r="T266" t="str">
        <f>TEXT(tblTransactions[[#This Row],[Date]],"mmm")</f>
        <v>Oct</v>
      </c>
      <c r="U266" t="str">
        <f>"Q"&amp;ROUNDUP(MONTH(tblTransactions[[#This Row],[Date]])/3,0)</f>
        <v>Q4</v>
      </c>
      <c r="V266">
        <f>MONTH(tblTransactions[[#This Row],[Date]])</f>
        <v>10</v>
      </c>
    </row>
    <row r="267" spans="1:22" x14ac:dyDescent="0.4">
      <c r="A267" t="s">
        <v>341</v>
      </c>
      <c r="B267" s="2">
        <v>46326</v>
      </c>
      <c r="C267">
        <v>2026</v>
      </c>
      <c r="D267" t="s">
        <v>23</v>
      </c>
      <c r="E267" t="s">
        <v>36</v>
      </c>
      <c r="F267" t="s">
        <v>37</v>
      </c>
      <c r="G267" t="s">
        <v>77</v>
      </c>
      <c r="H267" t="s">
        <v>78</v>
      </c>
      <c r="I267" t="s">
        <v>48</v>
      </c>
      <c r="J267" t="s">
        <v>29</v>
      </c>
      <c r="K267" t="s">
        <v>78</v>
      </c>
      <c r="L267" s="3">
        <v>76963</v>
      </c>
      <c r="M267" s="3">
        <v>0</v>
      </c>
      <c r="N267" t="s">
        <v>30</v>
      </c>
      <c r="O267" t="s">
        <v>55</v>
      </c>
      <c r="P267" t="s">
        <v>32</v>
      </c>
      <c r="Q267" t="s">
        <v>34</v>
      </c>
      <c r="R267" t="s">
        <v>34</v>
      </c>
      <c r="S267" s="3">
        <v>-48020</v>
      </c>
      <c r="T267" t="str">
        <f>TEXT(tblTransactions[[#This Row],[Date]],"mmm")</f>
        <v>Oct</v>
      </c>
      <c r="U267" t="str">
        <f>"Q"&amp;ROUNDUP(MONTH(tblTransactions[[#This Row],[Date]])/3,0)</f>
        <v>Q4</v>
      </c>
      <c r="V267">
        <f>MONTH(tblTransactions[[#This Row],[Date]])</f>
        <v>10</v>
      </c>
    </row>
    <row r="268" spans="1:22" x14ac:dyDescent="0.4">
      <c r="A268" t="s">
        <v>342</v>
      </c>
      <c r="B268" s="2">
        <v>46327</v>
      </c>
      <c r="C268">
        <v>2026</v>
      </c>
      <c r="D268" t="s">
        <v>23</v>
      </c>
      <c r="E268" t="s">
        <v>86</v>
      </c>
      <c r="F268" t="s">
        <v>25</v>
      </c>
      <c r="G268" t="s">
        <v>26</v>
      </c>
      <c r="H268" t="s">
        <v>27</v>
      </c>
      <c r="I268" t="s">
        <v>28</v>
      </c>
      <c r="J268" t="s">
        <v>84</v>
      </c>
      <c r="K268" t="s">
        <v>27</v>
      </c>
      <c r="L268" s="3">
        <v>11612</v>
      </c>
      <c r="M268" s="3">
        <v>11150</v>
      </c>
      <c r="N268" t="s">
        <v>41</v>
      </c>
      <c r="O268" t="s">
        <v>42</v>
      </c>
      <c r="P268" t="s">
        <v>32</v>
      </c>
      <c r="Q268" t="s">
        <v>34</v>
      </c>
      <c r="R268" t="s">
        <v>34</v>
      </c>
      <c r="S268" s="3">
        <v>-59632</v>
      </c>
      <c r="T268" t="str">
        <f>TEXT(tblTransactions[[#This Row],[Date]],"mmm")</f>
        <v>Nov</v>
      </c>
      <c r="U268" t="str">
        <f>"Q"&amp;ROUNDUP(MONTH(tblTransactions[[#This Row],[Date]])/3,0)</f>
        <v>Q4</v>
      </c>
      <c r="V268">
        <f>MONTH(tblTransactions[[#This Row],[Date]])</f>
        <v>11</v>
      </c>
    </row>
    <row r="269" spans="1:22" x14ac:dyDescent="0.4">
      <c r="A269" t="s">
        <v>343</v>
      </c>
      <c r="B269" s="2">
        <v>46328</v>
      </c>
      <c r="C269">
        <v>2026</v>
      </c>
      <c r="D269" t="s">
        <v>68</v>
      </c>
      <c r="E269" t="s">
        <v>86</v>
      </c>
      <c r="F269" t="s">
        <v>25</v>
      </c>
      <c r="G269" t="s">
        <v>70</v>
      </c>
      <c r="H269" t="s">
        <v>71</v>
      </c>
      <c r="I269" t="s">
        <v>58</v>
      </c>
      <c r="J269" t="s">
        <v>65</v>
      </c>
      <c r="K269" t="s">
        <v>71</v>
      </c>
      <c r="L269" s="3">
        <v>5393</v>
      </c>
      <c r="M269" s="3">
        <v>15037</v>
      </c>
      <c r="N269" t="s">
        <v>41</v>
      </c>
      <c r="O269" t="s">
        <v>55</v>
      </c>
      <c r="P269" t="s">
        <v>32</v>
      </c>
      <c r="Q269" t="s">
        <v>33</v>
      </c>
      <c r="R269" t="s">
        <v>34</v>
      </c>
      <c r="S269" s="3">
        <v>-65025</v>
      </c>
      <c r="T269" t="str">
        <f>TEXT(tblTransactions[[#This Row],[Date]],"mmm")</f>
        <v>Nov</v>
      </c>
      <c r="U269" t="str">
        <f>"Q"&amp;ROUNDUP(MONTH(tblTransactions[[#This Row],[Date]])/3,0)</f>
        <v>Q4</v>
      </c>
      <c r="V269">
        <f>MONTH(tblTransactions[[#This Row],[Date]])</f>
        <v>11</v>
      </c>
    </row>
    <row r="270" spans="1:22" x14ac:dyDescent="0.4">
      <c r="A270" t="s">
        <v>344</v>
      </c>
      <c r="B270" s="2">
        <v>46329</v>
      </c>
      <c r="C270">
        <v>2026</v>
      </c>
      <c r="D270" t="s">
        <v>44</v>
      </c>
      <c r="E270" t="s">
        <v>86</v>
      </c>
      <c r="F270" t="s">
        <v>25</v>
      </c>
      <c r="G270" t="s">
        <v>73</v>
      </c>
      <c r="H270" t="s">
        <v>74</v>
      </c>
      <c r="I270" t="s">
        <v>48</v>
      </c>
      <c r="J270" t="s">
        <v>90</v>
      </c>
      <c r="K270" t="s">
        <v>74</v>
      </c>
      <c r="L270" s="3">
        <v>7765</v>
      </c>
      <c r="M270" s="3">
        <v>8743</v>
      </c>
      <c r="N270" t="s">
        <v>54</v>
      </c>
      <c r="O270" t="s">
        <v>55</v>
      </c>
      <c r="P270" t="s">
        <v>32</v>
      </c>
      <c r="Q270" t="s">
        <v>33</v>
      </c>
      <c r="R270" t="s">
        <v>34</v>
      </c>
      <c r="S270" s="3">
        <v>-72790</v>
      </c>
      <c r="T270" t="str">
        <f>TEXT(tblTransactions[[#This Row],[Date]],"mmm")</f>
        <v>Nov</v>
      </c>
      <c r="U270" t="str">
        <f>"Q"&amp;ROUNDUP(MONTH(tblTransactions[[#This Row],[Date]])/3,0)</f>
        <v>Q4</v>
      </c>
      <c r="V270">
        <f>MONTH(tblTransactions[[#This Row],[Date]])</f>
        <v>11</v>
      </c>
    </row>
    <row r="271" spans="1:22" x14ac:dyDescent="0.4">
      <c r="A271" t="s">
        <v>345</v>
      </c>
      <c r="B271" s="2">
        <v>46331</v>
      </c>
      <c r="C271">
        <v>2026</v>
      </c>
      <c r="D271" t="s">
        <v>68</v>
      </c>
      <c r="E271" t="s">
        <v>36</v>
      </c>
      <c r="F271" t="s">
        <v>25</v>
      </c>
      <c r="G271" t="s">
        <v>98</v>
      </c>
      <c r="H271" t="s">
        <v>99</v>
      </c>
      <c r="I271" t="s">
        <v>39</v>
      </c>
      <c r="J271" t="s">
        <v>74</v>
      </c>
      <c r="K271" t="s">
        <v>99</v>
      </c>
      <c r="L271" s="3">
        <v>7800</v>
      </c>
      <c r="M271" s="3">
        <v>19715</v>
      </c>
      <c r="N271" t="s">
        <v>30</v>
      </c>
      <c r="O271" t="s">
        <v>42</v>
      </c>
      <c r="P271" t="s">
        <v>32</v>
      </c>
      <c r="Q271" t="s">
        <v>34</v>
      </c>
      <c r="R271" t="s">
        <v>34</v>
      </c>
      <c r="S271" s="3">
        <v>-80590</v>
      </c>
      <c r="T271" t="str">
        <f>TEXT(tblTransactions[[#This Row],[Date]],"mmm")</f>
        <v>Nov</v>
      </c>
      <c r="U271" t="str">
        <f>"Q"&amp;ROUNDUP(MONTH(tblTransactions[[#This Row],[Date]])/3,0)</f>
        <v>Q4</v>
      </c>
      <c r="V271">
        <f>MONTH(tblTransactions[[#This Row],[Date]])</f>
        <v>11</v>
      </c>
    </row>
    <row r="272" spans="1:22" x14ac:dyDescent="0.4">
      <c r="A272" t="s">
        <v>346</v>
      </c>
      <c r="B272" s="2">
        <v>46332</v>
      </c>
      <c r="C272">
        <v>2026</v>
      </c>
      <c r="D272" t="s">
        <v>23</v>
      </c>
      <c r="E272" t="s">
        <v>86</v>
      </c>
      <c r="F272" t="s">
        <v>25</v>
      </c>
      <c r="G272" t="s">
        <v>46</v>
      </c>
      <c r="H272" t="s">
        <v>47</v>
      </c>
      <c r="I272" t="s">
        <v>48</v>
      </c>
      <c r="J272" t="s">
        <v>74</v>
      </c>
      <c r="K272" t="s">
        <v>47</v>
      </c>
      <c r="L272" s="3">
        <v>6284</v>
      </c>
      <c r="M272" s="3">
        <v>15186</v>
      </c>
      <c r="N272" t="s">
        <v>54</v>
      </c>
      <c r="O272" t="s">
        <v>31</v>
      </c>
      <c r="P272" t="s">
        <v>32</v>
      </c>
      <c r="Q272" t="s">
        <v>34</v>
      </c>
      <c r="R272" t="s">
        <v>33</v>
      </c>
      <c r="S272" s="3">
        <v>-86874</v>
      </c>
      <c r="T272" t="str">
        <f>TEXT(tblTransactions[[#This Row],[Date]],"mmm")</f>
        <v>Nov</v>
      </c>
      <c r="U272" t="str">
        <f>"Q"&amp;ROUNDUP(MONTH(tblTransactions[[#This Row],[Date]])/3,0)</f>
        <v>Q4</v>
      </c>
      <c r="V272">
        <f>MONTH(tblTransactions[[#This Row],[Date]])</f>
        <v>11</v>
      </c>
    </row>
    <row r="273" spans="1:22" x14ac:dyDescent="0.4">
      <c r="A273" t="s">
        <v>347</v>
      </c>
      <c r="B273" s="2">
        <v>46333</v>
      </c>
      <c r="C273">
        <v>2026</v>
      </c>
      <c r="D273" t="s">
        <v>44</v>
      </c>
      <c r="E273" t="s">
        <v>36</v>
      </c>
      <c r="F273" t="s">
        <v>37</v>
      </c>
      <c r="G273" t="s">
        <v>93</v>
      </c>
      <c r="H273" t="s">
        <v>94</v>
      </c>
      <c r="I273" t="s">
        <v>44</v>
      </c>
      <c r="J273" t="s">
        <v>90</v>
      </c>
      <c r="K273" t="s">
        <v>94</v>
      </c>
      <c r="L273" s="3">
        <v>77500</v>
      </c>
      <c r="M273" s="3">
        <v>0</v>
      </c>
      <c r="N273" t="s">
        <v>60</v>
      </c>
      <c r="O273" t="s">
        <v>55</v>
      </c>
      <c r="P273" t="s">
        <v>32</v>
      </c>
      <c r="Q273" t="s">
        <v>33</v>
      </c>
      <c r="R273" t="s">
        <v>34</v>
      </c>
      <c r="S273" s="3">
        <v>-9374</v>
      </c>
      <c r="T273" t="str">
        <f>TEXT(tblTransactions[[#This Row],[Date]],"mmm")</f>
        <v>Nov</v>
      </c>
      <c r="U273" t="str">
        <f>"Q"&amp;ROUNDUP(MONTH(tblTransactions[[#This Row],[Date]])/3,0)</f>
        <v>Q4</v>
      </c>
      <c r="V273">
        <f>MONTH(tblTransactions[[#This Row],[Date]])</f>
        <v>11</v>
      </c>
    </row>
    <row r="274" spans="1:22" x14ac:dyDescent="0.4">
      <c r="A274" t="s">
        <v>348</v>
      </c>
      <c r="B274" s="2">
        <v>46334</v>
      </c>
      <c r="C274">
        <v>2026</v>
      </c>
      <c r="D274" t="s">
        <v>23</v>
      </c>
      <c r="E274" t="s">
        <v>45</v>
      </c>
      <c r="F274" t="s">
        <v>25</v>
      </c>
      <c r="G274" t="s">
        <v>70</v>
      </c>
      <c r="H274" t="s">
        <v>71</v>
      </c>
      <c r="I274" t="s">
        <v>53</v>
      </c>
      <c r="J274" t="s">
        <v>49</v>
      </c>
      <c r="K274" t="s">
        <v>71</v>
      </c>
      <c r="L274" s="3">
        <v>4664</v>
      </c>
      <c r="M274" s="3">
        <v>18810</v>
      </c>
      <c r="N274" t="s">
        <v>30</v>
      </c>
      <c r="O274" t="s">
        <v>50</v>
      </c>
      <c r="P274" t="s">
        <v>32</v>
      </c>
      <c r="Q274" t="s">
        <v>34</v>
      </c>
      <c r="R274" t="s">
        <v>34</v>
      </c>
      <c r="S274" s="3">
        <v>-14038</v>
      </c>
      <c r="T274" t="str">
        <f>TEXT(tblTransactions[[#This Row],[Date]],"mmm")</f>
        <v>Nov</v>
      </c>
      <c r="U274" t="str">
        <f>"Q"&amp;ROUNDUP(MONTH(tblTransactions[[#This Row],[Date]])/3,0)</f>
        <v>Q4</v>
      </c>
      <c r="V274">
        <f>MONTH(tblTransactions[[#This Row],[Date]])</f>
        <v>11</v>
      </c>
    </row>
    <row r="275" spans="1:22" x14ac:dyDescent="0.4">
      <c r="A275" t="s">
        <v>349</v>
      </c>
      <c r="B275" s="2">
        <v>46335</v>
      </c>
      <c r="C275">
        <v>2026</v>
      </c>
      <c r="D275" t="s">
        <v>44</v>
      </c>
      <c r="E275" t="s">
        <v>36</v>
      </c>
      <c r="F275" t="s">
        <v>37</v>
      </c>
      <c r="G275" t="s">
        <v>52</v>
      </c>
      <c r="H275" t="s">
        <v>52</v>
      </c>
      <c r="I275" t="s">
        <v>58</v>
      </c>
      <c r="J275" t="s">
        <v>90</v>
      </c>
      <c r="K275" t="s">
        <v>52</v>
      </c>
      <c r="L275" s="3">
        <v>63332</v>
      </c>
      <c r="M275" s="3">
        <v>0</v>
      </c>
      <c r="N275" t="s">
        <v>30</v>
      </c>
      <c r="O275" t="s">
        <v>42</v>
      </c>
      <c r="P275" t="s">
        <v>32</v>
      </c>
      <c r="Q275" t="s">
        <v>33</v>
      </c>
      <c r="R275" t="s">
        <v>33</v>
      </c>
      <c r="S275" s="3">
        <v>49294</v>
      </c>
      <c r="T275" t="str">
        <f>TEXT(tblTransactions[[#This Row],[Date]],"mmm")</f>
        <v>Nov</v>
      </c>
      <c r="U275" t="str">
        <f>"Q"&amp;ROUNDUP(MONTH(tblTransactions[[#This Row],[Date]])/3,0)</f>
        <v>Q4</v>
      </c>
      <c r="V275">
        <f>MONTH(tblTransactions[[#This Row],[Date]])</f>
        <v>11</v>
      </c>
    </row>
    <row r="276" spans="1:22" x14ac:dyDescent="0.4">
      <c r="A276" t="s">
        <v>350</v>
      </c>
      <c r="B276" s="2">
        <v>46336</v>
      </c>
      <c r="C276">
        <v>2026</v>
      </c>
      <c r="D276" t="s">
        <v>68</v>
      </c>
      <c r="E276" t="s">
        <v>24</v>
      </c>
      <c r="F276" t="s">
        <v>25</v>
      </c>
      <c r="G276" t="s">
        <v>98</v>
      </c>
      <c r="H276" t="s">
        <v>99</v>
      </c>
      <c r="I276" t="s">
        <v>53</v>
      </c>
      <c r="J276" t="s">
        <v>29</v>
      </c>
      <c r="K276" t="s">
        <v>99</v>
      </c>
      <c r="L276" s="3">
        <v>10187</v>
      </c>
      <c r="M276" s="3">
        <v>7087</v>
      </c>
      <c r="N276" t="s">
        <v>30</v>
      </c>
      <c r="O276" t="s">
        <v>50</v>
      </c>
      <c r="P276" t="s">
        <v>32</v>
      </c>
      <c r="Q276" t="s">
        <v>34</v>
      </c>
      <c r="R276" t="s">
        <v>34</v>
      </c>
      <c r="S276" s="3">
        <v>39107</v>
      </c>
      <c r="T276" t="str">
        <f>TEXT(tblTransactions[[#This Row],[Date]],"mmm")</f>
        <v>Nov</v>
      </c>
      <c r="U276" t="str">
        <f>"Q"&amp;ROUNDUP(MONTH(tblTransactions[[#This Row],[Date]])/3,0)</f>
        <v>Q4</v>
      </c>
      <c r="V276">
        <f>MONTH(tblTransactions[[#This Row],[Date]])</f>
        <v>11</v>
      </c>
    </row>
    <row r="277" spans="1:22" x14ac:dyDescent="0.4">
      <c r="A277" t="s">
        <v>351</v>
      </c>
      <c r="B277" s="2">
        <v>46337</v>
      </c>
      <c r="C277">
        <v>2026</v>
      </c>
      <c r="D277" t="s">
        <v>68</v>
      </c>
      <c r="E277" t="s">
        <v>24</v>
      </c>
      <c r="F277" t="s">
        <v>25</v>
      </c>
      <c r="G277" t="s">
        <v>73</v>
      </c>
      <c r="H277" t="s">
        <v>74</v>
      </c>
      <c r="I277" t="s">
        <v>39</v>
      </c>
      <c r="J277" t="s">
        <v>65</v>
      </c>
      <c r="K277" t="s">
        <v>74</v>
      </c>
      <c r="L277" s="3">
        <v>19114</v>
      </c>
      <c r="M277" s="3">
        <v>4419</v>
      </c>
      <c r="N277" t="s">
        <v>60</v>
      </c>
      <c r="O277" t="s">
        <v>50</v>
      </c>
      <c r="P277" t="s">
        <v>32</v>
      </c>
      <c r="Q277" t="s">
        <v>34</v>
      </c>
      <c r="R277" t="s">
        <v>33</v>
      </c>
      <c r="S277" s="3">
        <v>19993</v>
      </c>
      <c r="T277" t="str">
        <f>TEXT(tblTransactions[[#This Row],[Date]],"mmm")</f>
        <v>Nov</v>
      </c>
      <c r="U277" t="str">
        <f>"Q"&amp;ROUNDUP(MONTH(tblTransactions[[#This Row],[Date]])/3,0)</f>
        <v>Q4</v>
      </c>
      <c r="V277">
        <f>MONTH(tblTransactions[[#This Row],[Date]])</f>
        <v>11</v>
      </c>
    </row>
    <row r="278" spans="1:22" x14ac:dyDescent="0.4">
      <c r="A278" t="s">
        <v>352</v>
      </c>
      <c r="B278" s="2">
        <v>46338</v>
      </c>
      <c r="C278">
        <v>2026</v>
      </c>
      <c r="D278" t="s">
        <v>44</v>
      </c>
      <c r="E278" t="s">
        <v>86</v>
      </c>
      <c r="F278" t="s">
        <v>25</v>
      </c>
      <c r="G278" t="s">
        <v>46</v>
      </c>
      <c r="H278" t="s">
        <v>47</v>
      </c>
      <c r="I278" t="s">
        <v>39</v>
      </c>
      <c r="J278" t="s">
        <v>111</v>
      </c>
      <c r="K278" t="s">
        <v>47</v>
      </c>
      <c r="L278" s="3">
        <v>10434</v>
      </c>
      <c r="M278" s="3">
        <v>1498</v>
      </c>
      <c r="N278" t="s">
        <v>30</v>
      </c>
      <c r="O278" t="s">
        <v>55</v>
      </c>
      <c r="P278" t="s">
        <v>32</v>
      </c>
      <c r="Q278" t="s">
        <v>33</v>
      </c>
      <c r="R278" t="s">
        <v>33</v>
      </c>
      <c r="S278" s="3">
        <v>9559</v>
      </c>
      <c r="T278" t="str">
        <f>TEXT(tblTransactions[[#This Row],[Date]],"mmm")</f>
        <v>Nov</v>
      </c>
      <c r="U278" t="str">
        <f>"Q"&amp;ROUNDUP(MONTH(tblTransactions[[#This Row],[Date]])/3,0)</f>
        <v>Q4</v>
      </c>
      <c r="V278">
        <f>MONTH(tblTransactions[[#This Row],[Date]])</f>
        <v>11</v>
      </c>
    </row>
    <row r="279" spans="1:22" x14ac:dyDescent="0.4">
      <c r="A279" t="s">
        <v>353</v>
      </c>
      <c r="B279" s="2">
        <v>46339</v>
      </c>
      <c r="C279">
        <v>2026</v>
      </c>
      <c r="D279" t="s">
        <v>23</v>
      </c>
      <c r="E279" t="s">
        <v>36</v>
      </c>
      <c r="F279" t="s">
        <v>25</v>
      </c>
      <c r="G279" t="s">
        <v>73</v>
      </c>
      <c r="H279" t="s">
        <v>74</v>
      </c>
      <c r="I279" t="s">
        <v>39</v>
      </c>
      <c r="J279" t="s">
        <v>29</v>
      </c>
      <c r="K279" t="s">
        <v>74</v>
      </c>
      <c r="L279" s="3">
        <v>5780</v>
      </c>
      <c r="M279" s="3">
        <v>9334</v>
      </c>
      <c r="N279" t="s">
        <v>41</v>
      </c>
      <c r="O279" t="s">
        <v>42</v>
      </c>
      <c r="P279" t="s">
        <v>32</v>
      </c>
      <c r="Q279" t="s">
        <v>33</v>
      </c>
      <c r="R279" t="s">
        <v>34</v>
      </c>
      <c r="S279" s="3">
        <v>3779</v>
      </c>
      <c r="T279" t="str">
        <f>TEXT(tblTransactions[[#This Row],[Date]],"mmm")</f>
        <v>Nov</v>
      </c>
      <c r="U279" t="str">
        <f>"Q"&amp;ROUNDUP(MONTH(tblTransactions[[#This Row],[Date]])/3,0)</f>
        <v>Q4</v>
      </c>
      <c r="V279">
        <f>MONTH(tblTransactions[[#This Row],[Date]])</f>
        <v>11</v>
      </c>
    </row>
    <row r="280" spans="1:22" x14ac:dyDescent="0.4">
      <c r="A280" t="s">
        <v>354</v>
      </c>
      <c r="B280" s="2">
        <v>46340</v>
      </c>
      <c r="C280">
        <v>2026</v>
      </c>
      <c r="D280" t="s">
        <v>68</v>
      </c>
      <c r="E280" t="s">
        <v>24</v>
      </c>
      <c r="F280" t="s">
        <v>25</v>
      </c>
      <c r="G280" t="s">
        <v>63</v>
      </c>
      <c r="H280" t="s">
        <v>64</v>
      </c>
      <c r="I280" t="s">
        <v>44</v>
      </c>
      <c r="J280" t="s">
        <v>49</v>
      </c>
      <c r="K280" t="s">
        <v>64</v>
      </c>
      <c r="L280" s="3">
        <v>8716</v>
      </c>
      <c r="M280" s="3">
        <v>4860</v>
      </c>
      <c r="N280" t="s">
        <v>54</v>
      </c>
      <c r="O280" t="s">
        <v>42</v>
      </c>
      <c r="P280" t="s">
        <v>32</v>
      </c>
      <c r="Q280" t="s">
        <v>34</v>
      </c>
      <c r="R280" t="s">
        <v>34</v>
      </c>
      <c r="S280" s="3">
        <v>-4937</v>
      </c>
      <c r="T280" t="str">
        <f>TEXT(tblTransactions[[#This Row],[Date]],"mmm")</f>
        <v>Nov</v>
      </c>
      <c r="U280" t="str">
        <f>"Q"&amp;ROUNDUP(MONTH(tblTransactions[[#This Row],[Date]])/3,0)</f>
        <v>Q4</v>
      </c>
      <c r="V280">
        <f>MONTH(tblTransactions[[#This Row],[Date]])</f>
        <v>11</v>
      </c>
    </row>
    <row r="281" spans="1:22" x14ac:dyDescent="0.4">
      <c r="A281" t="s">
        <v>355</v>
      </c>
      <c r="B281" s="2">
        <v>46341</v>
      </c>
      <c r="C281">
        <v>2026</v>
      </c>
      <c r="D281" t="s">
        <v>23</v>
      </c>
      <c r="E281" t="s">
        <v>24</v>
      </c>
      <c r="F281" t="s">
        <v>25</v>
      </c>
      <c r="G281" t="s">
        <v>98</v>
      </c>
      <c r="H281" t="s">
        <v>99</v>
      </c>
      <c r="I281" t="s">
        <v>28</v>
      </c>
      <c r="J281" t="s">
        <v>74</v>
      </c>
      <c r="K281" t="s">
        <v>99</v>
      </c>
      <c r="L281" s="3">
        <v>18062</v>
      </c>
      <c r="M281" s="3">
        <v>15271</v>
      </c>
      <c r="N281" t="s">
        <v>41</v>
      </c>
      <c r="O281" t="s">
        <v>42</v>
      </c>
      <c r="P281" t="s">
        <v>32</v>
      </c>
      <c r="Q281" t="s">
        <v>34</v>
      </c>
      <c r="R281" t="s">
        <v>34</v>
      </c>
      <c r="S281" s="3">
        <v>-22999</v>
      </c>
      <c r="T281" t="str">
        <f>TEXT(tblTransactions[[#This Row],[Date]],"mmm")</f>
        <v>Nov</v>
      </c>
      <c r="U281" t="str">
        <f>"Q"&amp;ROUNDUP(MONTH(tblTransactions[[#This Row],[Date]])/3,0)</f>
        <v>Q4</v>
      </c>
      <c r="V281">
        <f>MONTH(tblTransactions[[#This Row],[Date]])</f>
        <v>11</v>
      </c>
    </row>
    <row r="282" spans="1:22" x14ac:dyDescent="0.4">
      <c r="A282" t="s">
        <v>356</v>
      </c>
      <c r="B282" s="2">
        <v>46342</v>
      </c>
      <c r="C282">
        <v>2026</v>
      </c>
      <c r="D282" t="s">
        <v>44</v>
      </c>
      <c r="E282" t="s">
        <v>86</v>
      </c>
      <c r="F282" t="s">
        <v>37</v>
      </c>
      <c r="G282" t="s">
        <v>52</v>
      </c>
      <c r="H282" t="s">
        <v>52</v>
      </c>
      <c r="I282" t="s">
        <v>28</v>
      </c>
      <c r="J282" t="s">
        <v>29</v>
      </c>
      <c r="K282" t="s">
        <v>52</v>
      </c>
      <c r="L282" s="3">
        <v>38906</v>
      </c>
      <c r="M282" s="3">
        <v>0</v>
      </c>
      <c r="N282" t="s">
        <v>54</v>
      </c>
      <c r="O282" t="s">
        <v>55</v>
      </c>
      <c r="P282" t="s">
        <v>32</v>
      </c>
      <c r="Q282" t="s">
        <v>34</v>
      </c>
      <c r="R282" t="s">
        <v>34</v>
      </c>
      <c r="S282" s="3">
        <v>15907</v>
      </c>
      <c r="T282" t="str">
        <f>TEXT(tblTransactions[[#This Row],[Date]],"mmm")</f>
        <v>Nov</v>
      </c>
      <c r="U282" t="str">
        <f>"Q"&amp;ROUNDUP(MONTH(tblTransactions[[#This Row],[Date]])/3,0)</f>
        <v>Q4</v>
      </c>
      <c r="V282">
        <f>MONTH(tblTransactions[[#This Row],[Date]])</f>
        <v>11</v>
      </c>
    </row>
    <row r="283" spans="1:22" x14ac:dyDescent="0.4">
      <c r="A283" t="s">
        <v>357</v>
      </c>
      <c r="B283" s="2">
        <v>46343</v>
      </c>
      <c r="C283">
        <v>2026</v>
      </c>
      <c r="D283" t="s">
        <v>23</v>
      </c>
      <c r="E283" t="s">
        <v>24</v>
      </c>
      <c r="F283" t="s">
        <v>25</v>
      </c>
      <c r="G283" t="s">
        <v>98</v>
      </c>
      <c r="H283" t="s">
        <v>99</v>
      </c>
      <c r="I283" t="s">
        <v>39</v>
      </c>
      <c r="J283" t="s">
        <v>84</v>
      </c>
      <c r="K283" t="s">
        <v>99</v>
      </c>
      <c r="L283" s="3">
        <v>4684</v>
      </c>
      <c r="M283" s="3">
        <v>14411</v>
      </c>
      <c r="N283" t="s">
        <v>54</v>
      </c>
      <c r="O283" t="s">
        <v>31</v>
      </c>
      <c r="P283" t="s">
        <v>32</v>
      </c>
      <c r="Q283" t="s">
        <v>34</v>
      </c>
      <c r="R283" t="s">
        <v>33</v>
      </c>
      <c r="S283" s="3">
        <v>11223</v>
      </c>
      <c r="T283" t="str">
        <f>TEXT(tblTransactions[[#This Row],[Date]],"mmm")</f>
        <v>Nov</v>
      </c>
      <c r="U283" t="str">
        <f>"Q"&amp;ROUNDUP(MONTH(tblTransactions[[#This Row],[Date]])/3,0)</f>
        <v>Q4</v>
      </c>
      <c r="V283">
        <f>MONTH(tblTransactions[[#This Row],[Date]])</f>
        <v>11</v>
      </c>
    </row>
    <row r="284" spans="1:22" x14ac:dyDescent="0.4">
      <c r="A284" t="s">
        <v>358</v>
      </c>
      <c r="B284" s="2">
        <v>46344</v>
      </c>
      <c r="C284">
        <v>2026</v>
      </c>
      <c r="D284" t="s">
        <v>44</v>
      </c>
      <c r="E284" t="s">
        <v>86</v>
      </c>
      <c r="F284" t="s">
        <v>37</v>
      </c>
      <c r="G284" t="s">
        <v>93</v>
      </c>
      <c r="H284" t="s">
        <v>94</v>
      </c>
      <c r="I284" t="s">
        <v>53</v>
      </c>
      <c r="J284" t="s">
        <v>59</v>
      </c>
      <c r="K284" t="s">
        <v>94</v>
      </c>
      <c r="L284" s="3">
        <v>3764</v>
      </c>
      <c r="M284" s="3">
        <v>0</v>
      </c>
      <c r="N284" t="s">
        <v>30</v>
      </c>
      <c r="O284" t="s">
        <v>31</v>
      </c>
      <c r="P284" t="s">
        <v>32</v>
      </c>
      <c r="Q284" t="s">
        <v>34</v>
      </c>
      <c r="R284" t="s">
        <v>34</v>
      </c>
      <c r="S284" s="3">
        <v>14987</v>
      </c>
      <c r="T284" t="str">
        <f>TEXT(tblTransactions[[#This Row],[Date]],"mmm")</f>
        <v>Nov</v>
      </c>
      <c r="U284" t="str">
        <f>"Q"&amp;ROUNDUP(MONTH(tblTransactions[[#This Row],[Date]])/3,0)</f>
        <v>Q4</v>
      </c>
      <c r="V284">
        <f>MONTH(tblTransactions[[#This Row],[Date]])</f>
        <v>11</v>
      </c>
    </row>
    <row r="285" spans="1:22" x14ac:dyDescent="0.4">
      <c r="A285" t="s">
        <v>359</v>
      </c>
      <c r="B285" s="2">
        <v>46345</v>
      </c>
      <c r="C285">
        <v>2026</v>
      </c>
      <c r="D285" t="s">
        <v>44</v>
      </c>
      <c r="E285" t="s">
        <v>45</v>
      </c>
      <c r="F285" t="s">
        <v>25</v>
      </c>
      <c r="G285" t="s">
        <v>63</v>
      </c>
      <c r="H285" t="s">
        <v>64</v>
      </c>
      <c r="I285" t="s">
        <v>28</v>
      </c>
      <c r="J285" t="s">
        <v>111</v>
      </c>
      <c r="K285" t="s">
        <v>64</v>
      </c>
      <c r="L285" s="3">
        <v>3698</v>
      </c>
      <c r="M285" s="3">
        <v>6838</v>
      </c>
      <c r="N285" t="s">
        <v>30</v>
      </c>
      <c r="O285" t="s">
        <v>50</v>
      </c>
      <c r="P285" t="s">
        <v>32</v>
      </c>
      <c r="Q285" t="s">
        <v>34</v>
      </c>
      <c r="R285" t="s">
        <v>34</v>
      </c>
      <c r="S285" s="3">
        <v>11289</v>
      </c>
      <c r="T285" t="str">
        <f>TEXT(tblTransactions[[#This Row],[Date]],"mmm")</f>
        <v>Nov</v>
      </c>
      <c r="U285" t="str">
        <f>"Q"&amp;ROUNDUP(MONTH(tblTransactions[[#This Row],[Date]])/3,0)</f>
        <v>Q4</v>
      </c>
      <c r="V285">
        <f>MONTH(tblTransactions[[#This Row],[Date]])</f>
        <v>11</v>
      </c>
    </row>
    <row r="286" spans="1:22" x14ac:dyDescent="0.4">
      <c r="A286" t="s">
        <v>360</v>
      </c>
      <c r="B286" s="2">
        <v>46346</v>
      </c>
      <c r="C286">
        <v>2026</v>
      </c>
      <c r="D286" t="s">
        <v>68</v>
      </c>
      <c r="E286" t="s">
        <v>86</v>
      </c>
      <c r="F286" t="s">
        <v>25</v>
      </c>
      <c r="G286" t="s">
        <v>46</v>
      </c>
      <c r="H286" t="s">
        <v>47</v>
      </c>
      <c r="I286" t="s">
        <v>58</v>
      </c>
      <c r="J286" t="s">
        <v>29</v>
      </c>
      <c r="K286" t="s">
        <v>47</v>
      </c>
      <c r="L286" s="3">
        <v>12894</v>
      </c>
      <c r="M286" s="3">
        <v>9326</v>
      </c>
      <c r="N286" t="s">
        <v>30</v>
      </c>
      <c r="O286" t="s">
        <v>42</v>
      </c>
      <c r="P286" t="s">
        <v>32</v>
      </c>
      <c r="Q286" t="s">
        <v>33</v>
      </c>
      <c r="R286" t="s">
        <v>34</v>
      </c>
      <c r="S286" s="3">
        <v>-1605</v>
      </c>
      <c r="T286" t="str">
        <f>TEXT(tblTransactions[[#This Row],[Date]],"mmm")</f>
        <v>Nov</v>
      </c>
      <c r="U286" t="str">
        <f>"Q"&amp;ROUNDUP(MONTH(tblTransactions[[#This Row],[Date]])/3,0)</f>
        <v>Q4</v>
      </c>
      <c r="V286">
        <f>MONTH(tblTransactions[[#This Row],[Date]])</f>
        <v>11</v>
      </c>
    </row>
    <row r="287" spans="1:22" x14ac:dyDescent="0.4">
      <c r="A287" t="s">
        <v>361</v>
      </c>
      <c r="B287" s="2">
        <v>46347</v>
      </c>
      <c r="C287">
        <v>2026</v>
      </c>
      <c r="D287" t="s">
        <v>23</v>
      </c>
      <c r="E287" t="s">
        <v>36</v>
      </c>
      <c r="F287" t="s">
        <v>37</v>
      </c>
      <c r="G287" t="s">
        <v>52</v>
      </c>
      <c r="H287" t="s">
        <v>52</v>
      </c>
      <c r="I287" t="s">
        <v>28</v>
      </c>
      <c r="J287" t="s">
        <v>111</v>
      </c>
      <c r="K287" t="s">
        <v>52</v>
      </c>
      <c r="L287" s="3">
        <v>59991</v>
      </c>
      <c r="M287" s="3">
        <v>0</v>
      </c>
      <c r="N287" t="s">
        <v>60</v>
      </c>
      <c r="O287" t="s">
        <v>50</v>
      </c>
      <c r="P287" t="s">
        <v>32</v>
      </c>
      <c r="Q287" t="s">
        <v>34</v>
      </c>
      <c r="R287" t="s">
        <v>33</v>
      </c>
      <c r="S287" s="3">
        <v>58386</v>
      </c>
      <c r="T287" t="str">
        <f>TEXT(tblTransactions[[#This Row],[Date]],"mmm")</f>
        <v>Nov</v>
      </c>
      <c r="U287" t="str">
        <f>"Q"&amp;ROUNDUP(MONTH(tblTransactions[[#This Row],[Date]])/3,0)</f>
        <v>Q4</v>
      </c>
      <c r="V287">
        <f>MONTH(tblTransactions[[#This Row],[Date]])</f>
        <v>11</v>
      </c>
    </row>
    <row r="288" spans="1:22" x14ac:dyDescent="0.4">
      <c r="A288" t="s">
        <v>362</v>
      </c>
      <c r="B288" s="2">
        <v>46348</v>
      </c>
      <c r="C288">
        <v>2026</v>
      </c>
      <c r="D288" t="s">
        <v>68</v>
      </c>
      <c r="E288" t="s">
        <v>36</v>
      </c>
      <c r="F288" t="s">
        <v>25</v>
      </c>
      <c r="G288" t="s">
        <v>104</v>
      </c>
      <c r="H288" t="s">
        <v>105</v>
      </c>
      <c r="I288" t="s">
        <v>39</v>
      </c>
      <c r="J288" t="s">
        <v>29</v>
      </c>
      <c r="K288" t="s">
        <v>105</v>
      </c>
      <c r="L288" s="3">
        <v>11460</v>
      </c>
      <c r="M288" s="3">
        <v>16960</v>
      </c>
      <c r="N288" t="s">
        <v>60</v>
      </c>
      <c r="O288" t="s">
        <v>31</v>
      </c>
      <c r="P288" t="s">
        <v>32</v>
      </c>
      <c r="Q288" t="s">
        <v>34</v>
      </c>
      <c r="R288" t="s">
        <v>34</v>
      </c>
      <c r="S288" s="3">
        <v>46926</v>
      </c>
      <c r="T288" t="str">
        <f>TEXT(tblTransactions[[#This Row],[Date]],"mmm")</f>
        <v>Nov</v>
      </c>
      <c r="U288" t="str">
        <f>"Q"&amp;ROUNDUP(MONTH(tblTransactions[[#This Row],[Date]])/3,0)</f>
        <v>Q4</v>
      </c>
      <c r="V288">
        <f>MONTH(tblTransactions[[#This Row],[Date]])</f>
        <v>11</v>
      </c>
    </row>
    <row r="289" spans="1:22" x14ac:dyDescent="0.4">
      <c r="A289" t="s">
        <v>363</v>
      </c>
      <c r="B289" s="2">
        <v>46349</v>
      </c>
      <c r="C289">
        <v>2026</v>
      </c>
      <c r="D289" t="s">
        <v>44</v>
      </c>
      <c r="E289" t="s">
        <v>36</v>
      </c>
      <c r="F289" t="s">
        <v>25</v>
      </c>
      <c r="G289" t="s">
        <v>98</v>
      </c>
      <c r="H289" t="s">
        <v>99</v>
      </c>
      <c r="I289" t="s">
        <v>44</v>
      </c>
      <c r="J289" t="s">
        <v>84</v>
      </c>
      <c r="K289" t="s">
        <v>99</v>
      </c>
      <c r="L289" s="3">
        <v>10612</v>
      </c>
      <c r="M289" s="3">
        <v>13051</v>
      </c>
      <c r="N289" t="s">
        <v>60</v>
      </c>
      <c r="O289" t="s">
        <v>42</v>
      </c>
      <c r="P289" t="s">
        <v>32</v>
      </c>
      <c r="Q289" t="s">
        <v>34</v>
      </c>
      <c r="R289" t="s">
        <v>33</v>
      </c>
      <c r="S289" s="3">
        <v>36314</v>
      </c>
      <c r="T289" t="str">
        <f>TEXT(tblTransactions[[#This Row],[Date]],"mmm")</f>
        <v>Nov</v>
      </c>
      <c r="U289" t="str">
        <f>"Q"&amp;ROUNDUP(MONTH(tblTransactions[[#This Row],[Date]])/3,0)</f>
        <v>Q4</v>
      </c>
      <c r="V289">
        <f>MONTH(tblTransactions[[#This Row],[Date]])</f>
        <v>11</v>
      </c>
    </row>
    <row r="290" spans="1:22" x14ac:dyDescent="0.4">
      <c r="A290" t="s">
        <v>364</v>
      </c>
      <c r="B290" s="2">
        <v>46350</v>
      </c>
      <c r="C290">
        <v>2026</v>
      </c>
      <c r="D290" t="s">
        <v>23</v>
      </c>
      <c r="E290" t="s">
        <v>24</v>
      </c>
      <c r="F290" t="s">
        <v>37</v>
      </c>
      <c r="G290" t="s">
        <v>77</v>
      </c>
      <c r="H290" t="s">
        <v>78</v>
      </c>
      <c r="I290" t="s">
        <v>48</v>
      </c>
      <c r="J290" t="s">
        <v>84</v>
      </c>
      <c r="K290" t="s">
        <v>78</v>
      </c>
      <c r="L290" s="3">
        <v>69055</v>
      </c>
      <c r="M290" s="3">
        <v>0</v>
      </c>
      <c r="N290" t="s">
        <v>54</v>
      </c>
      <c r="O290" t="s">
        <v>50</v>
      </c>
      <c r="P290" t="s">
        <v>32</v>
      </c>
      <c r="Q290" t="s">
        <v>34</v>
      </c>
      <c r="R290" t="s">
        <v>34</v>
      </c>
      <c r="S290" s="3">
        <v>105369</v>
      </c>
      <c r="T290" t="str">
        <f>TEXT(tblTransactions[[#This Row],[Date]],"mmm")</f>
        <v>Nov</v>
      </c>
      <c r="U290" t="str">
        <f>"Q"&amp;ROUNDUP(MONTH(tblTransactions[[#This Row],[Date]])/3,0)</f>
        <v>Q4</v>
      </c>
      <c r="V290">
        <f>MONTH(tblTransactions[[#This Row],[Date]])</f>
        <v>11</v>
      </c>
    </row>
    <row r="291" spans="1:22" x14ac:dyDescent="0.4">
      <c r="A291" t="s">
        <v>365</v>
      </c>
      <c r="B291" s="2">
        <v>46352</v>
      </c>
      <c r="C291">
        <v>2026</v>
      </c>
      <c r="D291" t="s">
        <v>23</v>
      </c>
      <c r="E291" t="s">
        <v>36</v>
      </c>
      <c r="F291" t="s">
        <v>25</v>
      </c>
      <c r="G291" t="s">
        <v>73</v>
      </c>
      <c r="H291" t="s">
        <v>74</v>
      </c>
      <c r="I291" t="s">
        <v>53</v>
      </c>
      <c r="J291" t="s">
        <v>111</v>
      </c>
      <c r="K291" t="s">
        <v>74</v>
      </c>
      <c r="L291" s="3">
        <v>15592</v>
      </c>
      <c r="M291" s="3">
        <v>10395</v>
      </c>
      <c r="N291" t="s">
        <v>30</v>
      </c>
      <c r="O291" t="s">
        <v>50</v>
      </c>
      <c r="P291" t="s">
        <v>32</v>
      </c>
      <c r="Q291" t="s">
        <v>33</v>
      </c>
      <c r="R291" t="s">
        <v>33</v>
      </c>
      <c r="S291" s="3">
        <v>89777</v>
      </c>
      <c r="T291" t="str">
        <f>TEXT(tblTransactions[[#This Row],[Date]],"mmm")</f>
        <v>Nov</v>
      </c>
      <c r="U291" t="str">
        <f>"Q"&amp;ROUNDUP(MONTH(tblTransactions[[#This Row],[Date]])/3,0)</f>
        <v>Q4</v>
      </c>
      <c r="V291">
        <f>MONTH(tblTransactions[[#This Row],[Date]])</f>
        <v>11</v>
      </c>
    </row>
    <row r="292" spans="1:22" x14ac:dyDescent="0.4">
      <c r="A292" t="s">
        <v>366</v>
      </c>
      <c r="B292" s="2">
        <v>46353</v>
      </c>
      <c r="C292">
        <v>2026</v>
      </c>
      <c r="D292" t="s">
        <v>23</v>
      </c>
      <c r="E292" t="s">
        <v>24</v>
      </c>
      <c r="F292" t="s">
        <v>37</v>
      </c>
      <c r="G292" t="s">
        <v>38</v>
      </c>
      <c r="H292" t="s">
        <v>38</v>
      </c>
      <c r="I292" t="s">
        <v>58</v>
      </c>
      <c r="J292" t="s">
        <v>59</v>
      </c>
      <c r="K292" t="s">
        <v>38</v>
      </c>
      <c r="L292" s="3">
        <v>27599</v>
      </c>
      <c r="M292" s="3">
        <v>0</v>
      </c>
      <c r="N292" t="s">
        <v>30</v>
      </c>
      <c r="O292" t="s">
        <v>50</v>
      </c>
      <c r="P292" t="s">
        <v>32</v>
      </c>
      <c r="Q292" t="s">
        <v>33</v>
      </c>
      <c r="R292" t="s">
        <v>33</v>
      </c>
      <c r="S292" s="3">
        <v>117376</v>
      </c>
      <c r="T292" t="str">
        <f>TEXT(tblTransactions[[#This Row],[Date]],"mmm")</f>
        <v>Nov</v>
      </c>
      <c r="U292" t="str">
        <f>"Q"&amp;ROUNDUP(MONTH(tblTransactions[[#This Row],[Date]])/3,0)</f>
        <v>Q4</v>
      </c>
      <c r="V292">
        <f>MONTH(tblTransactions[[#This Row],[Date]])</f>
        <v>11</v>
      </c>
    </row>
    <row r="293" spans="1:22" x14ac:dyDescent="0.4">
      <c r="A293" t="s">
        <v>367</v>
      </c>
      <c r="B293" s="2">
        <v>46354</v>
      </c>
      <c r="C293">
        <v>2026</v>
      </c>
      <c r="D293" t="s">
        <v>44</v>
      </c>
      <c r="E293" t="s">
        <v>24</v>
      </c>
      <c r="F293" t="s">
        <v>25</v>
      </c>
      <c r="G293" t="s">
        <v>70</v>
      </c>
      <c r="H293" t="s">
        <v>71</v>
      </c>
      <c r="I293" t="s">
        <v>58</v>
      </c>
      <c r="J293" t="s">
        <v>65</v>
      </c>
      <c r="K293" t="s">
        <v>71</v>
      </c>
      <c r="L293" s="3">
        <v>6100</v>
      </c>
      <c r="M293" s="3">
        <v>2074</v>
      </c>
      <c r="N293" t="s">
        <v>41</v>
      </c>
      <c r="O293" t="s">
        <v>55</v>
      </c>
      <c r="P293" t="s">
        <v>32</v>
      </c>
      <c r="Q293" t="s">
        <v>34</v>
      </c>
      <c r="R293" t="s">
        <v>33</v>
      </c>
      <c r="S293" s="3">
        <v>111276</v>
      </c>
      <c r="T293" t="str">
        <f>TEXT(tblTransactions[[#This Row],[Date]],"mmm")</f>
        <v>Nov</v>
      </c>
      <c r="U293" t="str">
        <f>"Q"&amp;ROUNDUP(MONTH(tblTransactions[[#This Row],[Date]])/3,0)</f>
        <v>Q4</v>
      </c>
      <c r="V293">
        <f>MONTH(tblTransactions[[#This Row],[Date]])</f>
        <v>11</v>
      </c>
    </row>
    <row r="294" spans="1:22" x14ac:dyDescent="0.4">
      <c r="A294" t="s">
        <v>368</v>
      </c>
      <c r="B294" s="2">
        <v>46356</v>
      </c>
      <c r="C294">
        <v>2026</v>
      </c>
      <c r="D294" t="s">
        <v>23</v>
      </c>
      <c r="E294" t="s">
        <v>36</v>
      </c>
      <c r="F294" t="s">
        <v>25</v>
      </c>
      <c r="G294" t="s">
        <v>26</v>
      </c>
      <c r="H294" t="s">
        <v>27</v>
      </c>
      <c r="I294" t="s">
        <v>48</v>
      </c>
      <c r="J294" t="s">
        <v>29</v>
      </c>
      <c r="K294" t="s">
        <v>27</v>
      </c>
      <c r="L294" s="3">
        <v>13718</v>
      </c>
      <c r="M294" s="3">
        <v>14124</v>
      </c>
      <c r="N294" t="s">
        <v>54</v>
      </c>
      <c r="O294" t="s">
        <v>31</v>
      </c>
      <c r="P294" t="s">
        <v>32</v>
      </c>
      <c r="Q294" t="s">
        <v>33</v>
      </c>
      <c r="R294" t="s">
        <v>34</v>
      </c>
      <c r="S294" s="3">
        <v>97558</v>
      </c>
      <c r="T294" t="str">
        <f>TEXT(tblTransactions[[#This Row],[Date]],"mmm")</f>
        <v>Nov</v>
      </c>
      <c r="U294" t="str">
        <f>"Q"&amp;ROUNDUP(MONTH(tblTransactions[[#This Row],[Date]])/3,0)</f>
        <v>Q4</v>
      </c>
      <c r="V294">
        <f>MONTH(tblTransactions[[#This Row],[Date]])</f>
        <v>11</v>
      </c>
    </row>
    <row r="295" spans="1:22" x14ac:dyDescent="0.4">
      <c r="A295" t="s">
        <v>369</v>
      </c>
      <c r="B295" s="2">
        <v>46358</v>
      </c>
      <c r="C295">
        <v>2026</v>
      </c>
      <c r="D295" t="s">
        <v>44</v>
      </c>
      <c r="E295" t="s">
        <v>36</v>
      </c>
      <c r="F295" t="s">
        <v>25</v>
      </c>
      <c r="G295" t="s">
        <v>70</v>
      </c>
      <c r="H295" t="s">
        <v>71</v>
      </c>
      <c r="I295" t="s">
        <v>39</v>
      </c>
      <c r="J295" t="s">
        <v>65</v>
      </c>
      <c r="K295" t="s">
        <v>71</v>
      </c>
      <c r="L295" s="3">
        <v>15831</v>
      </c>
      <c r="M295" s="3">
        <v>11000</v>
      </c>
      <c r="N295" t="s">
        <v>60</v>
      </c>
      <c r="O295" t="s">
        <v>55</v>
      </c>
      <c r="P295" t="s">
        <v>32</v>
      </c>
      <c r="Q295" t="s">
        <v>34</v>
      </c>
      <c r="R295" t="s">
        <v>34</v>
      </c>
      <c r="S295" s="3">
        <v>81727</v>
      </c>
      <c r="T295" t="str">
        <f>TEXT(tblTransactions[[#This Row],[Date]],"mmm")</f>
        <v>Dec</v>
      </c>
      <c r="U295" t="str">
        <f>"Q"&amp;ROUNDUP(MONTH(tblTransactions[[#This Row],[Date]])/3,0)</f>
        <v>Q4</v>
      </c>
      <c r="V295">
        <f>MONTH(tblTransactions[[#This Row],[Date]])</f>
        <v>12</v>
      </c>
    </row>
    <row r="296" spans="1:22" x14ac:dyDescent="0.4">
      <c r="A296" t="s">
        <v>370</v>
      </c>
      <c r="B296" s="2">
        <v>46359</v>
      </c>
      <c r="C296">
        <v>2026</v>
      </c>
      <c r="D296" t="s">
        <v>23</v>
      </c>
      <c r="E296" t="s">
        <v>86</v>
      </c>
      <c r="F296" t="s">
        <v>25</v>
      </c>
      <c r="G296" t="s">
        <v>57</v>
      </c>
      <c r="H296" t="s">
        <v>40</v>
      </c>
      <c r="I296" t="s">
        <v>58</v>
      </c>
      <c r="J296" t="s">
        <v>74</v>
      </c>
      <c r="K296" t="s">
        <v>40</v>
      </c>
      <c r="L296" s="3">
        <v>19590</v>
      </c>
      <c r="M296" s="3">
        <v>12935</v>
      </c>
      <c r="N296" t="s">
        <v>41</v>
      </c>
      <c r="O296" t="s">
        <v>55</v>
      </c>
      <c r="P296" t="s">
        <v>32</v>
      </c>
      <c r="Q296" t="s">
        <v>33</v>
      </c>
      <c r="R296" t="s">
        <v>33</v>
      </c>
      <c r="S296" s="3">
        <v>62137</v>
      </c>
      <c r="T296" t="str">
        <f>TEXT(tblTransactions[[#This Row],[Date]],"mmm")</f>
        <v>Dec</v>
      </c>
      <c r="U296" t="str">
        <f>"Q"&amp;ROUNDUP(MONTH(tblTransactions[[#This Row],[Date]])/3,0)</f>
        <v>Q4</v>
      </c>
      <c r="V296">
        <f>MONTH(tblTransactions[[#This Row],[Date]])</f>
        <v>12</v>
      </c>
    </row>
    <row r="297" spans="1:22" x14ac:dyDescent="0.4">
      <c r="A297" t="s">
        <v>371</v>
      </c>
      <c r="B297" s="2">
        <v>46360</v>
      </c>
      <c r="C297">
        <v>2026</v>
      </c>
      <c r="D297" t="s">
        <v>23</v>
      </c>
      <c r="E297" t="s">
        <v>45</v>
      </c>
      <c r="F297" t="s">
        <v>25</v>
      </c>
      <c r="G297" t="s">
        <v>104</v>
      </c>
      <c r="H297" t="s">
        <v>105</v>
      </c>
      <c r="I297" t="s">
        <v>48</v>
      </c>
      <c r="J297" t="s">
        <v>29</v>
      </c>
      <c r="K297" t="s">
        <v>105</v>
      </c>
      <c r="L297" s="3">
        <v>13906</v>
      </c>
      <c r="M297" s="3">
        <v>14286</v>
      </c>
      <c r="N297" t="s">
        <v>30</v>
      </c>
      <c r="O297" t="s">
        <v>31</v>
      </c>
      <c r="P297" t="s">
        <v>32</v>
      </c>
      <c r="Q297" t="s">
        <v>34</v>
      </c>
      <c r="R297" t="s">
        <v>34</v>
      </c>
      <c r="S297" s="3">
        <v>48231</v>
      </c>
      <c r="T297" t="str">
        <f>TEXT(tblTransactions[[#This Row],[Date]],"mmm")</f>
        <v>Dec</v>
      </c>
      <c r="U297" t="str">
        <f>"Q"&amp;ROUNDUP(MONTH(tblTransactions[[#This Row],[Date]])/3,0)</f>
        <v>Q4</v>
      </c>
      <c r="V297">
        <f>MONTH(tblTransactions[[#This Row],[Date]])</f>
        <v>12</v>
      </c>
    </row>
    <row r="298" spans="1:22" x14ac:dyDescent="0.4">
      <c r="A298" t="s">
        <v>372</v>
      </c>
      <c r="B298" s="2">
        <v>46361</v>
      </c>
      <c r="C298">
        <v>2026</v>
      </c>
      <c r="D298" t="s">
        <v>68</v>
      </c>
      <c r="E298" t="s">
        <v>36</v>
      </c>
      <c r="F298" t="s">
        <v>25</v>
      </c>
      <c r="G298" t="s">
        <v>104</v>
      </c>
      <c r="H298" t="s">
        <v>105</v>
      </c>
      <c r="I298" t="s">
        <v>28</v>
      </c>
      <c r="J298" t="s">
        <v>65</v>
      </c>
      <c r="K298" t="s">
        <v>105</v>
      </c>
      <c r="L298" s="3">
        <v>1941</v>
      </c>
      <c r="M298" s="3">
        <v>1622</v>
      </c>
      <c r="N298" t="s">
        <v>30</v>
      </c>
      <c r="O298" t="s">
        <v>31</v>
      </c>
      <c r="P298" t="s">
        <v>32</v>
      </c>
      <c r="Q298" t="s">
        <v>34</v>
      </c>
      <c r="R298" t="s">
        <v>34</v>
      </c>
      <c r="S298" s="3">
        <v>46290</v>
      </c>
      <c r="T298" t="str">
        <f>TEXT(tblTransactions[[#This Row],[Date]],"mmm")</f>
        <v>Dec</v>
      </c>
      <c r="U298" t="str">
        <f>"Q"&amp;ROUNDUP(MONTH(tblTransactions[[#This Row],[Date]])/3,0)</f>
        <v>Q4</v>
      </c>
      <c r="V298">
        <f>MONTH(tblTransactions[[#This Row],[Date]])</f>
        <v>12</v>
      </c>
    </row>
    <row r="299" spans="1:22" x14ac:dyDescent="0.4">
      <c r="A299" t="s">
        <v>373</v>
      </c>
      <c r="B299" s="2">
        <v>46362</v>
      </c>
      <c r="C299">
        <v>2026</v>
      </c>
      <c r="D299" t="s">
        <v>44</v>
      </c>
      <c r="E299" t="s">
        <v>86</v>
      </c>
      <c r="F299" t="s">
        <v>25</v>
      </c>
      <c r="G299" t="s">
        <v>63</v>
      </c>
      <c r="H299" t="s">
        <v>64</v>
      </c>
      <c r="I299" t="s">
        <v>58</v>
      </c>
      <c r="J299" t="s">
        <v>65</v>
      </c>
      <c r="K299" t="s">
        <v>64</v>
      </c>
      <c r="L299" s="3">
        <v>1775</v>
      </c>
      <c r="M299" s="3">
        <v>19423</v>
      </c>
      <c r="N299" t="s">
        <v>41</v>
      </c>
      <c r="O299" t="s">
        <v>55</v>
      </c>
      <c r="P299" t="s">
        <v>32</v>
      </c>
      <c r="Q299" t="s">
        <v>33</v>
      </c>
      <c r="R299" t="s">
        <v>34</v>
      </c>
      <c r="S299" s="3">
        <v>44515</v>
      </c>
      <c r="T299" t="str">
        <f>TEXT(tblTransactions[[#This Row],[Date]],"mmm")</f>
        <v>Dec</v>
      </c>
      <c r="U299" t="str">
        <f>"Q"&amp;ROUNDUP(MONTH(tblTransactions[[#This Row],[Date]])/3,0)</f>
        <v>Q4</v>
      </c>
      <c r="V299">
        <f>MONTH(tblTransactions[[#This Row],[Date]])</f>
        <v>12</v>
      </c>
    </row>
    <row r="300" spans="1:22" x14ac:dyDescent="0.4">
      <c r="A300" t="s">
        <v>374</v>
      </c>
      <c r="B300" s="2">
        <v>46363</v>
      </c>
      <c r="C300">
        <v>2026</v>
      </c>
      <c r="D300" t="s">
        <v>23</v>
      </c>
      <c r="E300" t="s">
        <v>36</v>
      </c>
      <c r="F300" t="s">
        <v>25</v>
      </c>
      <c r="G300" t="s">
        <v>63</v>
      </c>
      <c r="H300" t="s">
        <v>64</v>
      </c>
      <c r="I300" t="s">
        <v>44</v>
      </c>
      <c r="J300" t="s">
        <v>40</v>
      </c>
      <c r="K300" t="s">
        <v>64</v>
      </c>
      <c r="L300" s="3">
        <v>8014</v>
      </c>
      <c r="M300" s="3">
        <v>5760</v>
      </c>
      <c r="N300" t="s">
        <v>41</v>
      </c>
      <c r="O300" t="s">
        <v>31</v>
      </c>
      <c r="P300" t="s">
        <v>32</v>
      </c>
      <c r="Q300" t="s">
        <v>34</v>
      </c>
      <c r="R300" t="s">
        <v>34</v>
      </c>
      <c r="S300" s="3">
        <v>36501</v>
      </c>
      <c r="T300" t="str">
        <f>TEXT(tblTransactions[[#This Row],[Date]],"mmm")</f>
        <v>Dec</v>
      </c>
      <c r="U300" t="str">
        <f>"Q"&amp;ROUNDUP(MONTH(tblTransactions[[#This Row],[Date]])/3,0)</f>
        <v>Q4</v>
      </c>
      <c r="V300">
        <f>MONTH(tblTransactions[[#This Row],[Date]])</f>
        <v>12</v>
      </c>
    </row>
    <row r="301" spans="1:22" x14ac:dyDescent="0.4">
      <c r="A301" t="s">
        <v>375</v>
      </c>
      <c r="B301" s="2">
        <v>46364</v>
      </c>
      <c r="C301">
        <v>2026</v>
      </c>
      <c r="D301" t="s">
        <v>68</v>
      </c>
      <c r="E301" t="s">
        <v>86</v>
      </c>
      <c r="F301" t="s">
        <v>25</v>
      </c>
      <c r="G301" t="s">
        <v>63</v>
      </c>
      <c r="H301" t="s">
        <v>64</v>
      </c>
      <c r="I301" t="s">
        <v>48</v>
      </c>
      <c r="J301" t="s">
        <v>74</v>
      </c>
      <c r="K301" t="s">
        <v>64</v>
      </c>
      <c r="L301" s="3">
        <v>11995</v>
      </c>
      <c r="M301" s="3">
        <v>10727</v>
      </c>
      <c r="N301" t="s">
        <v>60</v>
      </c>
      <c r="O301" t="s">
        <v>31</v>
      </c>
      <c r="P301" t="s">
        <v>32</v>
      </c>
      <c r="Q301" t="s">
        <v>33</v>
      </c>
      <c r="R301" t="s">
        <v>34</v>
      </c>
      <c r="S301" s="3">
        <v>24506</v>
      </c>
      <c r="T301" t="str">
        <f>TEXT(tblTransactions[[#This Row],[Date]],"mmm")</f>
        <v>Dec</v>
      </c>
      <c r="U301" t="str">
        <f>"Q"&amp;ROUNDUP(MONTH(tblTransactions[[#This Row],[Date]])/3,0)</f>
        <v>Q4</v>
      </c>
      <c r="V301">
        <f>MONTH(tblTransactions[[#This Row],[Date]])</f>
        <v>12</v>
      </c>
    </row>
    <row r="302" spans="1:22" x14ac:dyDescent="0.4">
      <c r="A302" t="s">
        <v>376</v>
      </c>
      <c r="B302" s="2">
        <v>46366</v>
      </c>
      <c r="C302">
        <v>2026</v>
      </c>
      <c r="D302" t="s">
        <v>23</v>
      </c>
      <c r="E302" t="s">
        <v>45</v>
      </c>
      <c r="F302" t="s">
        <v>37</v>
      </c>
      <c r="G302" t="s">
        <v>52</v>
      </c>
      <c r="H302" t="s">
        <v>52</v>
      </c>
      <c r="I302" t="s">
        <v>44</v>
      </c>
      <c r="J302" t="s">
        <v>111</v>
      </c>
      <c r="K302" t="s">
        <v>52</v>
      </c>
      <c r="L302" s="3">
        <v>33139</v>
      </c>
      <c r="M302" s="3">
        <v>0</v>
      </c>
      <c r="N302" t="s">
        <v>54</v>
      </c>
      <c r="O302" t="s">
        <v>42</v>
      </c>
      <c r="P302" t="s">
        <v>32</v>
      </c>
      <c r="Q302" t="s">
        <v>34</v>
      </c>
      <c r="R302" t="s">
        <v>34</v>
      </c>
      <c r="S302" s="3">
        <v>57645</v>
      </c>
      <c r="T302" t="str">
        <f>TEXT(tblTransactions[[#This Row],[Date]],"mmm")</f>
        <v>Dec</v>
      </c>
      <c r="U302" t="str">
        <f>"Q"&amp;ROUNDUP(MONTH(tblTransactions[[#This Row],[Date]])/3,0)</f>
        <v>Q4</v>
      </c>
      <c r="V302">
        <f>MONTH(tblTransactions[[#This Row],[Date]])</f>
        <v>12</v>
      </c>
    </row>
    <row r="303" spans="1:22" x14ac:dyDescent="0.4">
      <c r="A303" t="s">
        <v>377</v>
      </c>
      <c r="B303" s="2">
        <v>46367</v>
      </c>
      <c r="C303">
        <v>2026</v>
      </c>
      <c r="D303" t="s">
        <v>68</v>
      </c>
      <c r="E303" t="s">
        <v>24</v>
      </c>
      <c r="F303" t="s">
        <v>25</v>
      </c>
      <c r="G303" t="s">
        <v>63</v>
      </c>
      <c r="H303" t="s">
        <v>64</v>
      </c>
      <c r="I303" t="s">
        <v>48</v>
      </c>
      <c r="J303" t="s">
        <v>59</v>
      </c>
      <c r="K303" t="s">
        <v>64</v>
      </c>
      <c r="L303" s="3">
        <v>12707</v>
      </c>
      <c r="M303" s="3">
        <v>13818</v>
      </c>
      <c r="N303" t="s">
        <v>54</v>
      </c>
      <c r="O303" t="s">
        <v>42</v>
      </c>
      <c r="P303" t="s">
        <v>32</v>
      </c>
      <c r="Q303" t="s">
        <v>34</v>
      </c>
      <c r="R303" t="s">
        <v>34</v>
      </c>
      <c r="S303" s="3">
        <v>44938</v>
      </c>
      <c r="T303" t="str">
        <f>TEXT(tblTransactions[[#This Row],[Date]],"mmm")</f>
        <v>Dec</v>
      </c>
      <c r="U303" t="str">
        <f>"Q"&amp;ROUNDUP(MONTH(tblTransactions[[#This Row],[Date]])/3,0)</f>
        <v>Q4</v>
      </c>
      <c r="V303">
        <f>MONTH(tblTransactions[[#This Row],[Date]])</f>
        <v>12</v>
      </c>
    </row>
    <row r="304" spans="1:22" x14ac:dyDescent="0.4">
      <c r="A304" t="s">
        <v>378</v>
      </c>
      <c r="B304" s="2">
        <v>46368</v>
      </c>
      <c r="C304">
        <v>2026</v>
      </c>
      <c r="D304" t="s">
        <v>44</v>
      </c>
      <c r="E304" t="s">
        <v>86</v>
      </c>
      <c r="F304" t="s">
        <v>37</v>
      </c>
      <c r="G304" t="s">
        <v>77</v>
      </c>
      <c r="H304" t="s">
        <v>78</v>
      </c>
      <c r="I304" t="s">
        <v>44</v>
      </c>
      <c r="J304" t="s">
        <v>90</v>
      </c>
      <c r="K304" t="s">
        <v>78</v>
      </c>
      <c r="L304" s="3">
        <v>73954</v>
      </c>
      <c r="M304" s="3">
        <v>0</v>
      </c>
      <c r="N304" t="s">
        <v>60</v>
      </c>
      <c r="O304" t="s">
        <v>31</v>
      </c>
      <c r="P304" t="s">
        <v>32</v>
      </c>
      <c r="Q304" t="s">
        <v>34</v>
      </c>
      <c r="R304" t="s">
        <v>34</v>
      </c>
      <c r="S304" s="3">
        <v>118892</v>
      </c>
      <c r="T304" t="str">
        <f>TEXT(tblTransactions[[#This Row],[Date]],"mmm")</f>
        <v>Dec</v>
      </c>
      <c r="U304" t="str">
        <f>"Q"&amp;ROUNDUP(MONTH(tblTransactions[[#This Row],[Date]])/3,0)</f>
        <v>Q4</v>
      </c>
      <c r="V304">
        <f>MONTH(tblTransactions[[#This Row],[Date]])</f>
        <v>12</v>
      </c>
    </row>
    <row r="305" spans="1:22" x14ac:dyDescent="0.4">
      <c r="A305" t="s">
        <v>379</v>
      </c>
      <c r="B305" s="2">
        <v>46369</v>
      </c>
      <c r="C305">
        <v>2026</v>
      </c>
      <c r="D305" t="s">
        <v>23</v>
      </c>
      <c r="E305" t="s">
        <v>24</v>
      </c>
      <c r="F305" t="s">
        <v>25</v>
      </c>
      <c r="G305" t="s">
        <v>46</v>
      </c>
      <c r="H305" t="s">
        <v>47</v>
      </c>
      <c r="I305" t="s">
        <v>48</v>
      </c>
      <c r="J305" t="s">
        <v>49</v>
      </c>
      <c r="K305" t="s">
        <v>47</v>
      </c>
      <c r="L305" s="3">
        <v>5570</v>
      </c>
      <c r="M305" s="3">
        <v>8185</v>
      </c>
      <c r="N305" t="s">
        <v>41</v>
      </c>
      <c r="O305" t="s">
        <v>50</v>
      </c>
      <c r="P305" t="s">
        <v>32</v>
      </c>
      <c r="Q305" t="s">
        <v>34</v>
      </c>
      <c r="R305" t="s">
        <v>34</v>
      </c>
      <c r="S305" s="3">
        <v>113322</v>
      </c>
      <c r="T305" t="str">
        <f>TEXT(tblTransactions[[#This Row],[Date]],"mmm")</f>
        <v>Dec</v>
      </c>
      <c r="U305" t="str">
        <f>"Q"&amp;ROUNDUP(MONTH(tblTransactions[[#This Row],[Date]])/3,0)</f>
        <v>Q4</v>
      </c>
      <c r="V305">
        <f>MONTH(tblTransactions[[#This Row],[Date]])</f>
        <v>12</v>
      </c>
    </row>
    <row r="306" spans="1:22" x14ac:dyDescent="0.4">
      <c r="A306" t="s">
        <v>380</v>
      </c>
      <c r="B306" s="2">
        <v>46371</v>
      </c>
      <c r="C306">
        <v>2026</v>
      </c>
      <c r="D306" t="s">
        <v>23</v>
      </c>
      <c r="E306" t="s">
        <v>36</v>
      </c>
      <c r="F306" t="s">
        <v>25</v>
      </c>
      <c r="G306" t="s">
        <v>98</v>
      </c>
      <c r="H306" t="s">
        <v>99</v>
      </c>
      <c r="I306" t="s">
        <v>39</v>
      </c>
      <c r="J306" t="s">
        <v>111</v>
      </c>
      <c r="K306" t="s">
        <v>99</v>
      </c>
      <c r="L306" s="3">
        <v>11191</v>
      </c>
      <c r="M306" s="3">
        <v>4035</v>
      </c>
      <c r="N306" t="s">
        <v>41</v>
      </c>
      <c r="O306" t="s">
        <v>42</v>
      </c>
      <c r="P306" t="s">
        <v>32</v>
      </c>
      <c r="Q306" t="s">
        <v>34</v>
      </c>
      <c r="R306" t="s">
        <v>34</v>
      </c>
      <c r="S306" s="3">
        <v>102131</v>
      </c>
      <c r="T306" t="str">
        <f>TEXT(tblTransactions[[#This Row],[Date]],"mmm")</f>
        <v>Dec</v>
      </c>
      <c r="U306" t="str">
        <f>"Q"&amp;ROUNDUP(MONTH(tblTransactions[[#This Row],[Date]])/3,0)</f>
        <v>Q4</v>
      </c>
      <c r="V306">
        <f>MONTH(tblTransactions[[#This Row],[Date]])</f>
        <v>12</v>
      </c>
    </row>
    <row r="307" spans="1:22" x14ac:dyDescent="0.4">
      <c r="A307" t="s">
        <v>381</v>
      </c>
      <c r="B307" s="2">
        <v>46372</v>
      </c>
      <c r="C307">
        <v>2026</v>
      </c>
      <c r="D307" t="s">
        <v>44</v>
      </c>
      <c r="E307" t="s">
        <v>86</v>
      </c>
      <c r="F307" t="s">
        <v>25</v>
      </c>
      <c r="G307" t="s">
        <v>98</v>
      </c>
      <c r="H307" t="s">
        <v>99</v>
      </c>
      <c r="I307" t="s">
        <v>39</v>
      </c>
      <c r="J307" t="s">
        <v>111</v>
      </c>
      <c r="K307" t="s">
        <v>99</v>
      </c>
      <c r="L307" s="3">
        <v>19824</v>
      </c>
      <c r="M307" s="3">
        <v>18101</v>
      </c>
      <c r="N307" t="s">
        <v>60</v>
      </c>
      <c r="O307" t="s">
        <v>55</v>
      </c>
      <c r="P307" t="s">
        <v>32</v>
      </c>
      <c r="Q307" t="s">
        <v>34</v>
      </c>
      <c r="R307" t="s">
        <v>34</v>
      </c>
      <c r="S307" s="3">
        <v>82307</v>
      </c>
      <c r="T307" t="str">
        <f>TEXT(tblTransactions[[#This Row],[Date]],"mmm")</f>
        <v>Dec</v>
      </c>
      <c r="U307" t="str">
        <f>"Q"&amp;ROUNDUP(MONTH(tblTransactions[[#This Row],[Date]])/3,0)</f>
        <v>Q4</v>
      </c>
      <c r="V307">
        <f>MONTH(tblTransactions[[#This Row],[Date]])</f>
        <v>12</v>
      </c>
    </row>
    <row r="308" spans="1:22" x14ac:dyDescent="0.4">
      <c r="A308" t="s">
        <v>382</v>
      </c>
      <c r="B308" s="2">
        <v>46373</v>
      </c>
      <c r="C308">
        <v>2026</v>
      </c>
      <c r="D308" t="s">
        <v>44</v>
      </c>
      <c r="E308" t="s">
        <v>36</v>
      </c>
      <c r="F308" t="s">
        <v>25</v>
      </c>
      <c r="G308" t="s">
        <v>73</v>
      </c>
      <c r="H308" t="s">
        <v>74</v>
      </c>
      <c r="I308" t="s">
        <v>28</v>
      </c>
      <c r="J308" t="s">
        <v>29</v>
      </c>
      <c r="K308" t="s">
        <v>74</v>
      </c>
      <c r="L308" s="3">
        <v>6755</v>
      </c>
      <c r="M308" s="3">
        <v>19305</v>
      </c>
      <c r="N308" t="s">
        <v>30</v>
      </c>
      <c r="O308" t="s">
        <v>50</v>
      </c>
      <c r="P308" t="s">
        <v>32</v>
      </c>
      <c r="Q308" t="s">
        <v>34</v>
      </c>
      <c r="R308" t="s">
        <v>33</v>
      </c>
      <c r="S308" s="3">
        <v>75552</v>
      </c>
      <c r="T308" t="str">
        <f>TEXT(tblTransactions[[#This Row],[Date]],"mmm")</f>
        <v>Dec</v>
      </c>
      <c r="U308" t="str">
        <f>"Q"&amp;ROUNDUP(MONTH(tblTransactions[[#This Row],[Date]])/3,0)</f>
        <v>Q4</v>
      </c>
      <c r="V308">
        <f>MONTH(tblTransactions[[#This Row],[Date]])</f>
        <v>12</v>
      </c>
    </row>
    <row r="309" spans="1:22" x14ac:dyDescent="0.4">
      <c r="A309" t="s">
        <v>383</v>
      </c>
      <c r="B309" s="2">
        <v>46374</v>
      </c>
      <c r="C309">
        <v>2026</v>
      </c>
      <c r="D309" t="s">
        <v>68</v>
      </c>
      <c r="E309" t="s">
        <v>45</v>
      </c>
      <c r="F309" t="s">
        <v>25</v>
      </c>
      <c r="G309" t="s">
        <v>26</v>
      </c>
      <c r="H309" t="s">
        <v>27</v>
      </c>
      <c r="I309" t="s">
        <v>39</v>
      </c>
      <c r="J309" t="s">
        <v>29</v>
      </c>
      <c r="K309" t="s">
        <v>27</v>
      </c>
      <c r="L309" s="3">
        <v>346</v>
      </c>
      <c r="M309" s="3">
        <v>19437</v>
      </c>
      <c r="N309" t="s">
        <v>30</v>
      </c>
      <c r="O309" t="s">
        <v>50</v>
      </c>
      <c r="P309" t="s">
        <v>32</v>
      </c>
      <c r="Q309" t="s">
        <v>34</v>
      </c>
      <c r="R309" t="s">
        <v>34</v>
      </c>
      <c r="S309" s="3">
        <v>75206</v>
      </c>
      <c r="T309" t="str">
        <f>TEXT(tblTransactions[[#This Row],[Date]],"mmm")</f>
        <v>Dec</v>
      </c>
      <c r="U309" t="str">
        <f>"Q"&amp;ROUNDUP(MONTH(tblTransactions[[#This Row],[Date]])/3,0)</f>
        <v>Q4</v>
      </c>
      <c r="V309">
        <f>MONTH(tblTransactions[[#This Row],[Date]])</f>
        <v>12</v>
      </c>
    </row>
    <row r="310" spans="1:22" x14ac:dyDescent="0.4">
      <c r="A310" t="s">
        <v>384</v>
      </c>
      <c r="B310" s="2">
        <v>46375</v>
      </c>
      <c r="C310">
        <v>2026</v>
      </c>
      <c r="D310" t="s">
        <v>44</v>
      </c>
      <c r="E310" t="s">
        <v>36</v>
      </c>
      <c r="F310" t="s">
        <v>25</v>
      </c>
      <c r="G310" t="s">
        <v>57</v>
      </c>
      <c r="H310" t="s">
        <v>40</v>
      </c>
      <c r="I310" t="s">
        <v>39</v>
      </c>
      <c r="J310" t="s">
        <v>65</v>
      </c>
      <c r="K310" t="s">
        <v>40</v>
      </c>
      <c r="L310" s="3">
        <v>10778</v>
      </c>
      <c r="M310" s="3">
        <v>9331</v>
      </c>
      <c r="N310" t="s">
        <v>30</v>
      </c>
      <c r="O310" t="s">
        <v>50</v>
      </c>
      <c r="P310" t="s">
        <v>32</v>
      </c>
      <c r="Q310" t="s">
        <v>33</v>
      </c>
      <c r="R310" t="s">
        <v>33</v>
      </c>
      <c r="S310" s="3">
        <v>64428</v>
      </c>
      <c r="T310" t="str">
        <f>TEXT(tblTransactions[[#This Row],[Date]],"mmm")</f>
        <v>Dec</v>
      </c>
      <c r="U310" t="str">
        <f>"Q"&amp;ROUNDUP(MONTH(tblTransactions[[#This Row],[Date]])/3,0)</f>
        <v>Q4</v>
      </c>
      <c r="V310">
        <f>MONTH(tblTransactions[[#This Row],[Date]])</f>
        <v>12</v>
      </c>
    </row>
    <row r="311" spans="1:22" x14ac:dyDescent="0.4">
      <c r="A311" t="s">
        <v>385</v>
      </c>
      <c r="B311" s="2">
        <v>46376</v>
      </c>
      <c r="C311">
        <v>2026</v>
      </c>
      <c r="D311" t="s">
        <v>68</v>
      </c>
      <c r="E311" t="s">
        <v>45</v>
      </c>
      <c r="F311" t="s">
        <v>37</v>
      </c>
      <c r="G311" t="s">
        <v>38</v>
      </c>
      <c r="H311" t="s">
        <v>38</v>
      </c>
      <c r="I311" t="s">
        <v>58</v>
      </c>
      <c r="J311" t="s">
        <v>29</v>
      </c>
      <c r="K311" t="s">
        <v>38</v>
      </c>
      <c r="L311" s="3">
        <v>2381</v>
      </c>
      <c r="M311" s="3">
        <v>0</v>
      </c>
      <c r="N311" t="s">
        <v>60</v>
      </c>
      <c r="O311" t="s">
        <v>31</v>
      </c>
      <c r="P311" t="s">
        <v>32</v>
      </c>
      <c r="Q311" t="s">
        <v>33</v>
      </c>
      <c r="R311" t="s">
        <v>33</v>
      </c>
      <c r="S311" s="3">
        <v>66809</v>
      </c>
      <c r="T311" t="str">
        <f>TEXT(tblTransactions[[#This Row],[Date]],"mmm")</f>
        <v>Dec</v>
      </c>
      <c r="U311" t="str">
        <f>"Q"&amp;ROUNDUP(MONTH(tblTransactions[[#This Row],[Date]])/3,0)</f>
        <v>Q4</v>
      </c>
      <c r="V311">
        <f>MONTH(tblTransactions[[#This Row],[Date]])</f>
        <v>12</v>
      </c>
    </row>
    <row r="312" spans="1:22" x14ac:dyDescent="0.4">
      <c r="A312" t="s">
        <v>386</v>
      </c>
      <c r="B312" s="2">
        <v>46377</v>
      </c>
      <c r="C312">
        <v>2026</v>
      </c>
      <c r="D312" t="s">
        <v>68</v>
      </c>
      <c r="E312" t="s">
        <v>24</v>
      </c>
      <c r="F312" t="s">
        <v>25</v>
      </c>
      <c r="G312" t="s">
        <v>104</v>
      </c>
      <c r="H312" t="s">
        <v>105</v>
      </c>
      <c r="I312" t="s">
        <v>58</v>
      </c>
      <c r="J312" t="s">
        <v>65</v>
      </c>
      <c r="K312" t="s">
        <v>105</v>
      </c>
      <c r="L312" s="3">
        <v>1472</v>
      </c>
      <c r="M312" s="3">
        <v>10762</v>
      </c>
      <c r="N312" t="s">
        <v>30</v>
      </c>
      <c r="O312" t="s">
        <v>42</v>
      </c>
      <c r="P312" t="s">
        <v>32</v>
      </c>
      <c r="Q312" t="s">
        <v>34</v>
      </c>
      <c r="R312" t="s">
        <v>34</v>
      </c>
      <c r="S312" s="3">
        <v>65337</v>
      </c>
      <c r="T312" t="str">
        <f>TEXT(tblTransactions[[#This Row],[Date]],"mmm")</f>
        <v>Dec</v>
      </c>
      <c r="U312" t="str">
        <f>"Q"&amp;ROUNDUP(MONTH(tblTransactions[[#This Row],[Date]])/3,0)</f>
        <v>Q4</v>
      </c>
      <c r="V312">
        <f>MONTH(tblTransactions[[#This Row],[Date]])</f>
        <v>12</v>
      </c>
    </row>
    <row r="313" spans="1:22" x14ac:dyDescent="0.4">
      <c r="A313" t="s">
        <v>387</v>
      </c>
      <c r="B313" s="2">
        <v>46378</v>
      </c>
      <c r="C313">
        <v>2026</v>
      </c>
      <c r="D313" t="s">
        <v>23</v>
      </c>
      <c r="E313" t="s">
        <v>45</v>
      </c>
      <c r="F313" t="s">
        <v>25</v>
      </c>
      <c r="G313" t="s">
        <v>46</v>
      </c>
      <c r="H313" t="s">
        <v>47</v>
      </c>
      <c r="I313" t="s">
        <v>28</v>
      </c>
      <c r="J313" t="s">
        <v>40</v>
      </c>
      <c r="K313" t="s">
        <v>47</v>
      </c>
      <c r="L313" s="3">
        <v>16736</v>
      </c>
      <c r="M313" s="3">
        <v>1457</v>
      </c>
      <c r="N313" t="s">
        <v>41</v>
      </c>
      <c r="O313" t="s">
        <v>55</v>
      </c>
      <c r="P313" t="s">
        <v>32</v>
      </c>
      <c r="Q313" t="s">
        <v>34</v>
      </c>
      <c r="R313" t="s">
        <v>34</v>
      </c>
      <c r="S313" s="3">
        <v>48601</v>
      </c>
      <c r="T313" t="str">
        <f>TEXT(tblTransactions[[#This Row],[Date]],"mmm")</f>
        <v>Dec</v>
      </c>
      <c r="U313" t="str">
        <f>"Q"&amp;ROUNDUP(MONTH(tblTransactions[[#This Row],[Date]])/3,0)</f>
        <v>Q4</v>
      </c>
      <c r="V313">
        <f>MONTH(tblTransactions[[#This Row],[Date]])</f>
        <v>12</v>
      </c>
    </row>
    <row r="314" spans="1:22" x14ac:dyDescent="0.4">
      <c r="A314" t="s">
        <v>388</v>
      </c>
      <c r="B314" s="2">
        <v>46379</v>
      </c>
      <c r="C314">
        <v>2026</v>
      </c>
      <c r="D314" t="s">
        <v>23</v>
      </c>
      <c r="E314" t="s">
        <v>45</v>
      </c>
      <c r="F314" t="s">
        <v>25</v>
      </c>
      <c r="G314" t="s">
        <v>46</v>
      </c>
      <c r="H314" t="s">
        <v>47</v>
      </c>
      <c r="I314" t="s">
        <v>48</v>
      </c>
      <c r="J314" t="s">
        <v>65</v>
      </c>
      <c r="K314" t="s">
        <v>47</v>
      </c>
      <c r="L314" s="3">
        <v>6117</v>
      </c>
      <c r="M314" s="3">
        <v>8568</v>
      </c>
      <c r="N314" t="s">
        <v>41</v>
      </c>
      <c r="O314" t="s">
        <v>42</v>
      </c>
      <c r="P314" t="s">
        <v>32</v>
      </c>
      <c r="Q314" t="s">
        <v>33</v>
      </c>
      <c r="R314" t="s">
        <v>34</v>
      </c>
      <c r="S314" s="3">
        <v>42484</v>
      </c>
      <c r="T314" t="str">
        <f>TEXT(tblTransactions[[#This Row],[Date]],"mmm")</f>
        <v>Dec</v>
      </c>
      <c r="U314" t="str">
        <f>"Q"&amp;ROUNDUP(MONTH(tblTransactions[[#This Row],[Date]])/3,0)</f>
        <v>Q4</v>
      </c>
      <c r="V314">
        <f>MONTH(tblTransactions[[#This Row],[Date]])</f>
        <v>12</v>
      </c>
    </row>
    <row r="315" spans="1:22" x14ac:dyDescent="0.4">
      <c r="A315" t="s">
        <v>389</v>
      </c>
      <c r="B315" s="2">
        <v>46380</v>
      </c>
      <c r="C315">
        <v>2026</v>
      </c>
      <c r="D315" t="s">
        <v>68</v>
      </c>
      <c r="E315" t="s">
        <v>24</v>
      </c>
      <c r="F315" t="s">
        <v>37</v>
      </c>
      <c r="G315" t="s">
        <v>38</v>
      </c>
      <c r="H315" t="s">
        <v>38</v>
      </c>
      <c r="I315" t="s">
        <v>58</v>
      </c>
      <c r="J315" t="s">
        <v>40</v>
      </c>
      <c r="K315" t="s">
        <v>38</v>
      </c>
      <c r="L315" s="3">
        <v>9455</v>
      </c>
      <c r="M315" s="3">
        <v>0</v>
      </c>
      <c r="N315" t="s">
        <v>41</v>
      </c>
      <c r="O315" t="s">
        <v>50</v>
      </c>
      <c r="P315" t="s">
        <v>32</v>
      </c>
      <c r="Q315" t="s">
        <v>34</v>
      </c>
      <c r="R315" t="s">
        <v>34</v>
      </c>
      <c r="S315" s="3">
        <v>51939</v>
      </c>
      <c r="T315" t="str">
        <f>TEXT(tblTransactions[[#This Row],[Date]],"mmm")</f>
        <v>Dec</v>
      </c>
      <c r="U315" t="str">
        <f>"Q"&amp;ROUNDUP(MONTH(tblTransactions[[#This Row],[Date]])/3,0)</f>
        <v>Q4</v>
      </c>
      <c r="V315">
        <f>MONTH(tblTransactions[[#This Row],[Date]])</f>
        <v>12</v>
      </c>
    </row>
    <row r="316" spans="1:22" x14ac:dyDescent="0.4">
      <c r="A316" t="s">
        <v>390</v>
      </c>
      <c r="B316" s="2">
        <v>46381</v>
      </c>
      <c r="C316">
        <v>2026</v>
      </c>
      <c r="D316" t="s">
        <v>23</v>
      </c>
      <c r="E316" t="s">
        <v>86</v>
      </c>
      <c r="F316" t="s">
        <v>37</v>
      </c>
      <c r="G316" t="s">
        <v>93</v>
      </c>
      <c r="H316" t="s">
        <v>94</v>
      </c>
      <c r="I316" t="s">
        <v>28</v>
      </c>
      <c r="J316" t="s">
        <v>74</v>
      </c>
      <c r="K316" t="s">
        <v>94</v>
      </c>
      <c r="L316" s="3">
        <v>78416</v>
      </c>
      <c r="M316" s="3">
        <v>0</v>
      </c>
      <c r="N316" t="s">
        <v>41</v>
      </c>
      <c r="O316" t="s">
        <v>42</v>
      </c>
      <c r="P316" t="s">
        <v>32</v>
      </c>
      <c r="Q316" t="s">
        <v>34</v>
      </c>
      <c r="R316" t="s">
        <v>33</v>
      </c>
      <c r="S316" s="3">
        <v>130355</v>
      </c>
      <c r="T316" t="str">
        <f>TEXT(tblTransactions[[#This Row],[Date]],"mmm")</f>
        <v>Dec</v>
      </c>
      <c r="U316" t="str">
        <f>"Q"&amp;ROUNDUP(MONTH(tblTransactions[[#This Row],[Date]])/3,0)</f>
        <v>Q4</v>
      </c>
      <c r="V316">
        <f>MONTH(tblTransactions[[#This Row],[Date]])</f>
        <v>12</v>
      </c>
    </row>
    <row r="317" spans="1:22" x14ac:dyDescent="0.4">
      <c r="A317" t="s">
        <v>391</v>
      </c>
      <c r="B317" s="2">
        <v>46382</v>
      </c>
      <c r="C317">
        <v>2026</v>
      </c>
      <c r="D317" t="s">
        <v>44</v>
      </c>
      <c r="E317" t="s">
        <v>36</v>
      </c>
      <c r="F317" t="s">
        <v>25</v>
      </c>
      <c r="G317" t="s">
        <v>63</v>
      </c>
      <c r="H317" t="s">
        <v>64</v>
      </c>
      <c r="I317" t="s">
        <v>39</v>
      </c>
      <c r="J317" t="s">
        <v>65</v>
      </c>
      <c r="K317" t="s">
        <v>64</v>
      </c>
      <c r="L317" s="3">
        <v>15040</v>
      </c>
      <c r="M317" s="3">
        <v>15762</v>
      </c>
      <c r="N317" t="s">
        <v>54</v>
      </c>
      <c r="O317" t="s">
        <v>55</v>
      </c>
      <c r="P317" t="s">
        <v>32</v>
      </c>
      <c r="Q317" t="s">
        <v>34</v>
      </c>
      <c r="R317" t="s">
        <v>34</v>
      </c>
      <c r="S317" s="3">
        <v>115315</v>
      </c>
      <c r="T317" t="str">
        <f>TEXT(tblTransactions[[#This Row],[Date]],"mmm")</f>
        <v>Dec</v>
      </c>
      <c r="U317" t="str">
        <f>"Q"&amp;ROUNDUP(MONTH(tblTransactions[[#This Row],[Date]])/3,0)</f>
        <v>Q4</v>
      </c>
      <c r="V317">
        <f>MONTH(tblTransactions[[#This Row],[Date]])</f>
        <v>12</v>
      </c>
    </row>
    <row r="318" spans="1:22" x14ac:dyDescent="0.4">
      <c r="A318" t="s">
        <v>392</v>
      </c>
      <c r="B318" s="2">
        <v>46383</v>
      </c>
      <c r="C318">
        <v>2026</v>
      </c>
      <c r="D318" t="s">
        <v>44</v>
      </c>
      <c r="E318" t="s">
        <v>86</v>
      </c>
      <c r="F318" t="s">
        <v>37</v>
      </c>
      <c r="G318" t="s">
        <v>38</v>
      </c>
      <c r="H318" t="s">
        <v>38</v>
      </c>
      <c r="I318" t="s">
        <v>58</v>
      </c>
      <c r="J318" t="s">
        <v>90</v>
      </c>
      <c r="K318" t="s">
        <v>38</v>
      </c>
      <c r="L318" s="3">
        <v>30158</v>
      </c>
      <c r="M318" s="3">
        <v>0</v>
      </c>
      <c r="N318" t="s">
        <v>41</v>
      </c>
      <c r="O318" t="s">
        <v>50</v>
      </c>
      <c r="P318" t="s">
        <v>32</v>
      </c>
      <c r="Q318" t="s">
        <v>34</v>
      </c>
      <c r="R318" t="s">
        <v>34</v>
      </c>
      <c r="S318" s="3">
        <v>145473</v>
      </c>
      <c r="T318" t="str">
        <f>TEXT(tblTransactions[[#This Row],[Date]],"mmm")</f>
        <v>Dec</v>
      </c>
      <c r="U318" t="str">
        <f>"Q"&amp;ROUNDUP(MONTH(tblTransactions[[#This Row],[Date]])/3,0)</f>
        <v>Q4</v>
      </c>
      <c r="V318">
        <f>MONTH(tblTransactions[[#This Row],[Date]])</f>
        <v>12</v>
      </c>
    </row>
    <row r="319" spans="1:22" x14ac:dyDescent="0.4">
      <c r="A319" t="s">
        <v>393</v>
      </c>
      <c r="B319" s="2">
        <v>46384</v>
      </c>
      <c r="C319">
        <v>2026</v>
      </c>
      <c r="D319" t="s">
        <v>68</v>
      </c>
      <c r="E319" t="s">
        <v>36</v>
      </c>
      <c r="F319" t="s">
        <v>37</v>
      </c>
      <c r="G319" t="s">
        <v>52</v>
      </c>
      <c r="H319" t="s">
        <v>52</v>
      </c>
      <c r="I319" t="s">
        <v>44</v>
      </c>
      <c r="J319" t="s">
        <v>84</v>
      </c>
      <c r="K319" t="s">
        <v>52</v>
      </c>
      <c r="L319" s="3">
        <v>6461</v>
      </c>
      <c r="M319" s="3">
        <v>0</v>
      </c>
      <c r="N319" t="s">
        <v>30</v>
      </c>
      <c r="O319" t="s">
        <v>50</v>
      </c>
      <c r="P319" t="s">
        <v>32</v>
      </c>
      <c r="Q319" t="s">
        <v>34</v>
      </c>
      <c r="R319" t="s">
        <v>34</v>
      </c>
      <c r="S319" s="3">
        <v>151934</v>
      </c>
      <c r="T319" t="str">
        <f>TEXT(tblTransactions[[#This Row],[Date]],"mmm")</f>
        <v>Dec</v>
      </c>
      <c r="U319" t="str">
        <f>"Q"&amp;ROUNDUP(MONTH(tblTransactions[[#This Row],[Date]])/3,0)</f>
        <v>Q4</v>
      </c>
      <c r="V319">
        <f>MONTH(tblTransactions[[#This Row],[Date]])</f>
        <v>12</v>
      </c>
    </row>
    <row r="320" spans="1:22" x14ac:dyDescent="0.4">
      <c r="A320" t="s">
        <v>394</v>
      </c>
      <c r="B320" s="2">
        <v>46385</v>
      </c>
      <c r="C320">
        <v>2026</v>
      </c>
      <c r="D320" t="s">
        <v>68</v>
      </c>
      <c r="E320" t="s">
        <v>24</v>
      </c>
      <c r="F320" t="s">
        <v>25</v>
      </c>
      <c r="G320" t="s">
        <v>63</v>
      </c>
      <c r="H320" t="s">
        <v>64</v>
      </c>
      <c r="I320" t="s">
        <v>44</v>
      </c>
      <c r="J320" t="s">
        <v>29</v>
      </c>
      <c r="K320" t="s">
        <v>64</v>
      </c>
      <c r="L320" s="3">
        <v>14614</v>
      </c>
      <c r="M320" s="3">
        <v>11167</v>
      </c>
      <c r="N320" t="s">
        <v>41</v>
      </c>
      <c r="O320" t="s">
        <v>42</v>
      </c>
      <c r="P320" t="s">
        <v>32</v>
      </c>
      <c r="Q320" t="s">
        <v>34</v>
      </c>
      <c r="R320" t="s">
        <v>34</v>
      </c>
      <c r="S320" s="3">
        <v>137320</v>
      </c>
      <c r="T320" t="str">
        <f>TEXT(tblTransactions[[#This Row],[Date]],"mmm")</f>
        <v>Dec</v>
      </c>
      <c r="U320" t="str">
        <f>"Q"&amp;ROUNDUP(MONTH(tblTransactions[[#This Row],[Date]])/3,0)</f>
        <v>Q4</v>
      </c>
      <c r="V320">
        <f>MONTH(tblTransactions[[#This Row],[Date]])</f>
        <v>12</v>
      </c>
    </row>
    <row r="321" spans="1:22" x14ac:dyDescent="0.4">
      <c r="A321" t="s">
        <v>395</v>
      </c>
      <c r="B321" s="2">
        <v>46386</v>
      </c>
      <c r="C321">
        <v>2026</v>
      </c>
      <c r="D321" t="s">
        <v>44</v>
      </c>
      <c r="E321" t="s">
        <v>24</v>
      </c>
      <c r="F321" t="s">
        <v>25</v>
      </c>
      <c r="G321" t="s">
        <v>73</v>
      </c>
      <c r="H321" t="s">
        <v>74</v>
      </c>
      <c r="I321" t="s">
        <v>53</v>
      </c>
      <c r="J321" t="s">
        <v>49</v>
      </c>
      <c r="K321" t="s">
        <v>74</v>
      </c>
      <c r="L321" s="3">
        <v>252</v>
      </c>
      <c r="M321" s="3">
        <v>9271</v>
      </c>
      <c r="N321" t="s">
        <v>30</v>
      </c>
      <c r="O321" t="s">
        <v>50</v>
      </c>
      <c r="P321" t="s">
        <v>32</v>
      </c>
      <c r="Q321" t="s">
        <v>34</v>
      </c>
      <c r="R321" t="s">
        <v>34</v>
      </c>
      <c r="S321" s="3">
        <v>137068</v>
      </c>
      <c r="T321" t="str">
        <f>TEXT(tblTransactions[[#This Row],[Date]],"mmm")</f>
        <v>Dec</v>
      </c>
      <c r="U321" t="str">
        <f>"Q"&amp;ROUNDUP(MONTH(tblTransactions[[#This Row],[Date]])/3,0)</f>
        <v>Q4</v>
      </c>
      <c r="V321">
        <f>MONTH(tblTransactions[[#This Row],[Date]])</f>
        <v>12</v>
      </c>
    </row>
    <row r="322" spans="1:22" x14ac:dyDescent="0.4">
      <c r="A322" t="s">
        <v>396</v>
      </c>
      <c r="B322" s="2">
        <v>46387</v>
      </c>
      <c r="C322">
        <v>2026</v>
      </c>
      <c r="D322" t="s">
        <v>44</v>
      </c>
      <c r="E322" t="s">
        <v>45</v>
      </c>
      <c r="F322" t="s">
        <v>25</v>
      </c>
      <c r="G322" t="s">
        <v>63</v>
      </c>
      <c r="H322" t="s">
        <v>64</v>
      </c>
      <c r="I322" t="s">
        <v>58</v>
      </c>
      <c r="J322" t="s">
        <v>74</v>
      </c>
      <c r="K322" t="s">
        <v>64</v>
      </c>
      <c r="L322" s="3">
        <v>17537</v>
      </c>
      <c r="M322" s="3">
        <v>17887</v>
      </c>
      <c r="N322" t="s">
        <v>41</v>
      </c>
      <c r="O322" t="s">
        <v>42</v>
      </c>
      <c r="P322" t="s">
        <v>32</v>
      </c>
      <c r="Q322" t="s">
        <v>34</v>
      </c>
      <c r="R322" t="s">
        <v>33</v>
      </c>
      <c r="S322" s="3">
        <v>119531</v>
      </c>
      <c r="T322" t="str">
        <f>TEXT(tblTransactions[[#This Row],[Date]],"mmm")</f>
        <v>Dec</v>
      </c>
      <c r="U322" t="str">
        <f>"Q"&amp;ROUNDUP(MONTH(tblTransactions[[#This Row],[Date]])/3,0)</f>
        <v>Q4</v>
      </c>
      <c r="V322">
        <f>MONTH(tblTransactions[[#This Row],[Date]])</f>
        <v>12</v>
      </c>
    </row>
    <row r="323" spans="1:22" x14ac:dyDescent="0.4">
      <c r="A323" t="s">
        <v>397</v>
      </c>
      <c r="B323" s="2">
        <v>46023</v>
      </c>
      <c r="C323">
        <v>2026</v>
      </c>
      <c r="D323" t="s">
        <v>23</v>
      </c>
      <c r="E323" t="s">
        <v>24</v>
      </c>
      <c r="F323" t="s">
        <v>25</v>
      </c>
      <c r="G323" t="s">
        <v>46</v>
      </c>
      <c r="H323" t="s">
        <v>47</v>
      </c>
      <c r="I323" t="s">
        <v>44</v>
      </c>
      <c r="J323" t="s">
        <v>90</v>
      </c>
      <c r="K323" t="s">
        <v>47</v>
      </c>
      <c r="L323" s="3">
        <v>6742</v>
      </c>
      <c r="M323" s="3">
        <v>10391</v>
      </c>
      <c r="N323" t="s">
        <v>60</v>
      </c>
      <c r="O323" t="s">
        <v>42</v>
      </c>
      <c r="P323" t="s">
        <v>32</v>
      </c>
      <c r="Q323" t="s">
        <v>33</v>
      </c>
      <c r="R323" t="s">
        <v>33</v>
      </c>
      <c r="S323" s="3">
        <v>112789</v>
      </c>
      <c r="T323" t="str">
        <f>TEXT(tblTransactions[[#This Row],[Date]],"mmm")</f>
        <v>Jan</v>
      </c>
      <c r="U323" t="str">
        <f>"Q"&amp;ROUNDUP(MONTH(tblTransactions[[#This Row],[Date]])/3,0)</f>
        <v>Q1</v>
      </c>
      <c r="V323">
        <f>MONTH(tblTransactions[[#This Row],[Date]])</f>
        <v>1</v>
      </c>
    </row>
    <row r="324" spans="1:22" x14ac:dyDescent="0.4">
      <c r="A324" t="s">
        <v>398</v>
      </c>
      <c r="B324" s="2">
        <v>46024</v>
      </c>
      <c r="C324">
        <v>2026</v>
      </c>
      <c r="D324" t="s">
        <v>23</v>
      </c>
      <c r="E324" t="s">
        <v>86</v>
      </c>
      <c r="F324" t="s">
        <v>25</v>
      </c>
      <c r="G324" t="s">
        <v>46</v>
      </c>
      <c r="H324" t="s">
        <v>47</v>
      </c>
      <c r="I324" t="s">
        <v>58</v>
      </c>
      <c r="J324" t="s">
        <v>84</v>
      </c>
      <c r="K324" t="s">
        <v>47</v>
      </c>
      <c r="L324" s="3">
        <v>6478</v>
      </c>
      <c r="M324" s="3">
        <v>4403</v>
      </c>
      <c r="N324" t="s">
        <v>30</v>
      </c>
      <c r="O324" t="s">
        <v>55</v>
      </c>
      <c r="P324" t="s">
        <v>32</v>
      </c>
      <c r="Q324" t="s">
        <v>34</v>
      </c>
      <c r="R324" t="s">
        <v>34</v>
      </c>
      <c r="S324" s="3">
        <v>106311</v>
      </c>
      <c r="T324" t="str">
        <f>TEXT(tblTransactions[[#This Row],[Date]],"mmm")</f>
        <v>Jan</v>
      </c>
      <c r="U324" t="str">
        <f>"Q"&amp;ROUNDUP(MONTH(tblTransactions[[#This Row],[Date]])/3,0)</f>
        <v>Q1</v>
      </c>
      <c r="V324">
        <f>MONTH(tblTransactions[[#This Row],[Date]])</f>
        <v>1</v>
      </c>
    </row>
    <row r="325" spans="1:22" x14ac:dyDescent="0.4">
      <c r="A325" t="s">
        <v>399</v>
      </c>
      <c r="B325" s="2">
        <v>46025</v>
      </c>
      <c r="C325">
        <v>2026</v>
      </c>
      <c r="D325" t="s">
        <v>68</v>
      </c>
      <c r="E325" t="s">
        <v>24</v>
      </c>
      <c r="F325" t="s">
        <v>25</v>
      </c>
      <c r="G325" t="s">
        <v>57</v>
      </c>
      <c r="H325" t="s">
        <v>40</v>
      </c>
      <c r="I325" t="s">
        <v>53</v>
      </c>
      <c r="J325" t="s">
        <v>49</v>
      </c>
      <c r="K325" t="s">
        <v>40</v>
      </c>
      <c r="L325" s="3">
        <v>17189</v>
      </c>
      <c r="M325" s="3">
        <v>19781</v>
      </c>
      <c r="N325" t="s">
        <v>54</v>
      </c>
      <c r="O325" t="s">
        <v>42</v>
      </c>
      <c r="P325" t="s">
        <v>32</v>
      </c>
      <c r="Q325" t="s">
        <v>33</v>
      </c>
      <c r="R325" t="s">
        <v>34</v>
      </c>
      <c r="S325" s="3">
        <v>89122</v>
      </c>
      <c r="T325" t="str">
        <f>TEXT(tblTransactions[[#This Row],[Date]],"mmm")</f>
        <v>Jan</v>
      </c>
      <c r="U325" t="str">
        <f>"Q"&amp;ROUNDUP(MONTH(tblTransactions[[#This Row],[Date]])/3,0)</f>
        <v>Q1</v>
      </c>
      <c r="V325">
        <f>MONTH(tblTransactions[[#This Row],[Date]])</f>
        <v>1</v>
      </c>
    </row>
    <row r="326" spans="1:22" x14ac:dyDescent="0.4">
      <c r="A326" t="s">
        <v>400</v>
      </c>
      <c r="B326" s="2">
        <v>46026</v>
      </c>
      <c r="C326">
        <v>2026</v>
      </c>
      <c r="D326" t="s">
        <v>23</v>
      </c>
      <c r="E326" t="s">
        <v>36</v>
      </c>
      <c r="F326" t="s">
        <v>25</v>
      </c>
      <c r="G326" t="s">
        <v>104</v>
      </c>
      <c r="H326" t="s">
        <v>105</v>
      </c>
      <c r="I326" t="s">
        <v>28</v>
      </c>
      <c r="J326" t="s">
        <v>90</v>
      </c>
      <c r="K326" t="s">
        <v>105</v>
      </c>
      <c r="L326" s="3">
        <v>18461</v>
      </c>
      <c r="M326" s="3">
        <v>3709</v>
      </c>
      <c r="N326" t="s">
        <v>54</v>
      </c>
      <c r="O326" t="s">
        <v>55</v>
      </c>
      <c r="P326" t="s">
        <v>32</v>
      </c>
      <c r="Q326" t="s">
        <v>33</v>
      </c>
      <c r="R326" t="s">
        <v>34</v>
      </c>
      <c r="S326" s="3">
        <v>70661</v>
      </c>
      <c r="T326" t="str">
        <f>TEXT(tblTransactions[[#This Row],[Date]],"mmm")</f>
        <v>Jan</v>
      </c>
      <c r="U326" t="str">
        <f>"Q"&amp;ROUNDUP(MONTH(tblTransactions[[#This Row],[Date]])/3,0)</f>
        <v>Q1</v>
      </c>
      <c r="V326">
        <f>MONTH(tblTransactions[[#This Row],[Date]])</f>
        <v>1</v>
      </c>
    </row>
    <row r="327" spans="1:22" x14ac:dyDescent="0.4">
      <c r="A327" t="s">
        <v>401</v>
      </c>
      <c r="B327" s="2">
        <v>46027</v>
      </c>
      <c r="C327">
        <v>2026</v>
      </c>
      <c r="D327" t="s">
        <v>44</v>
      </c>
      <c r="E327" t="s">
        <v>36</v>
      </c>
      <c r="F327" t="s">
        <v>25</v>
      </c>
      <c r="G327" t="s">
        <v>73</v>
      </c>
      <c r="H327" t="s">
        <v>74</v>
      </c>
      <c r="I327" t="s">
        <v>48</v>
      </c>
      <c r="J327" t="s">
        <v>49</v>
      </c>
      <c r="K327" t="s">
        <v>74</v>
      </c>
      <c r="L327" s="3">
        <v>17757</v>
      </c>
      <c r="M327" s="3">
        <v>12991</v>
      </c>
      <c r="N327" t="s">
        <v>60</v>
      </c>
      <c r="O327" t="s">
        <v>42</v>
      </c>
      <c r="P327" t="s">
        <v>32</v>
      </c>
      <c r="Q327" t="s">
        <v>34</v>
      </c>
      <c r="R327" t="s">
        <v>34</v>
      </c>
      <c r="S327" s="3">
        <v>52904</v>
      </c>
      <c r="T327" t="str">
        <f>TEXT(tblTransactions[[#This Row],[Date]],"mmm")</f>
        <v>Jan</v>
      </c>
      <c r="U327" t="str">
        <f>"Q"&amp;ROUNDUP(MONTH(tblTransactions[[#This Row],[Date]])/3,0)</f>
        <v>Q1</v>
      </c>
      <c r="V327">
        <f>MONTH(tblTransactions[[#This Row],[Date]])</f>
        <v>1</v>
      </c>
    </row>
    <row r="328" spans="1:22" x14ac:dyDescent="0.4">
      <c r="A328" t="s">
        <v>402</v>
      </c>
      <c r="B328" s="2">
        <v>46028</v>
      </c>
      <c r="C328">
        <v>2026</v>
      </c>
      <c r="D328" t="s">
        <v>23</v>
      </c>
      <c r="E328" t="s">
        <v>45</v>
      </c>
      <c r="F328" t="s">
        <v>37</v>
      </c>
      <c r="G328" t="s">
        <v>38</v>
      </c>
      <c r="H328" t="s">
        <v>38</v>
      </c>
      <c r="I328" t="s">
        <v>58</v>
      </c>
      <c r="J328" t="s">
        <v>84</v>
      </c>
      <c r="K328" t="s">
        <v>38</v>
      </c>
      <c r="L328" s="3">
        <v>22565</v>
      </c>
      <c r="M328" s="3">
        <v>0</v>
      </c>
      <c r="N328" t="s">
        <v>30</v>
      </c>
      <c r="O328" t="s">
        <v>50</v>
      </c>
      <c r="P328" t="s">
        <v>32</v>
      </c>
      <c r="Q328" t="s">
        <v>34</v>
      </c>
      <c r="R328" t="s">
        <v>34</v>
      </c>
      <c r="S328" s="3">
        <v>75469</v>
      </c>
      <c r="T328" t="str">
        <f>TEXT(tblTransactions[[#This Row],[Date]],"mmm")</f>
        <v>Jan</v>
      </c>
      <c r="U328" t="str">
        <f>"Q"&amp;ROUNDUP(MONTH(tblTransactions[[#This Row],[Date]])/3,0)</f>
        <v>Q1</v>
      </c>
      <c r="V328">
        <f>MONTH(tblTransactions[[#This Row],[Date]])</f>
        <v>1</v>
      </c>
    </row>
    <row r="329" spans="1:22" x14ac:dyDescent="0.4">
      <c r="A329" t="s">
        <v>403</v>
      </c>
      <c r="B329" s="2">
        <v>46029</v>
      </c>
      <c r="C329">
        <v>2026</v>
      </c>
      <c r="D329" t="s">
        <v>23</v>
      </c>
      <c r="E329" t="s">
        <v>86</v>
      </c>
      <c r="F329" t="s">
        <v>25</v>
      </c>
      <c r="G329" t="s">
        <v>26</v>
      </c>
      <c r="H329" t="s">
        <v>27</v>
      </c>
      <c r="I329" t="s">
        <v>39</v>
      </c>
      <c r="J329" t="s">
        <v>90</v>
      </c>
      <c r="K329" t="s">
        <v>27</v>
      </c>
      <c r="L329" s="3">
        <v>16405</v>
      </c>
      <c r="M329" s="3">
        <v>12680</v>
      </c>
      <c r="N329" t="s">
        <v>54</v>
      </c>
      <c r="O329" t="s">
        <v>55</v>
      </c>
      <c r="P329" t="s">
        <v>32</v>
      </c>
      <c r="Q329" t="s">
        <v>34</v>
      </c>
      <c r="R329" t="s">
        <v>34</v>
      </c>
      <c r="S329" s="3">
        <v>59064</v>
      </c>
      <c r="T329" t="str">
        <f>TEXT(tblTransactions[[#This Row],[Date]],"mmm")</f>
        <v>Jan</v>
      </c>
      <c r="U329" t="str">
        <f>"Q"&amp;ROUNDUP(MONTH(tblTransactions[[#This Row],[Date]])/3,0)</f>
        <v>Q1</v>
      </c>
      <c r="V329">
        <f>MONTH(tblTransactions[[#This Row],[Date]])</f>
        <v>1</v>
      </c>
    </row>
    <row r="330" spans="1:22" x14ac:dyDescent="0.4">
      <c r="A330" t="s">
        <v>404</v>
      </c>
      <c r="B330" s="2">
        <v>46030</v>
      </c>
      <c r="C330">
        <v>2026</v>
      </c>
      <c r="D330" t="s">
        <v>68</v>
      </c>
      <c r="E330" t="s">
        <v>45</v>
      </c>
      <c r="F330" t="s">
        <v>37</v>
      </c>
      <c r="G330" t="s">
        <v>77</v>
      </c>
      <c r="H330" t="s">
        <v>78</v>
      </c>
      <c r="I330" t="s">
        <v>53</v>
      </c>
      <c r="J330" t="s">
        <v>84</v>
      </c>
      <c r="K330" t="s">
        <v>78</v>
      </c>
      <c r="L330" s="3">
        <v>23341</v>
      </c>
      <c r="M330" s="3">
        <v>0</v>
      </c>
      <c r="N330" t="s">
        <v>41</v>
      </c>
      <c r="O330" t="s">
        <v>42</v>
      </c>
      <c r="P330" t="s">
        <v>32</v>
      </c>
      <c r="Q330" t="s">
        <v>33</v>
      </c>
      <c r="R330" t="s">
        <v>34</v>
      </c>
      <c r="S330" s="3">
        <v>82405</v>
      </c>
      <c r="T330" t="str">
        <f>TEXT(tblTransactions[[#This Row],[Date]],"mmm")</f>
        <v>Jan</v>
      </c>
      <c r="U330" t="str">
        <f>"Q"&amp;ROUNDUP(MONTH(tblTransactions[[#This Row],[Date]])/3,0)</f>
        <v>Q1</v>
      </c>
      <c r="V330">
        <f>MONTH(tblTransactions[[#This Row],[Date]])</f>
        <v>1</v>
      </c>
    </row>
    <row r="331" spans="1:22" x14ac:dyDescent="0.4">
      <c r="A331" t="s">
        <v>405</v>
      </c>
      <c r="B331" s="2">
        <v>46031</v>
      </c>
      <c r="C331">
        <v>2026</v>
      </c>
      <c r="D331" t="s">
        <v>23</v>
      </c>
      <c r="E331" t="s">
        <v>86</v>
      </c>
      <c r="F331" t="s">
        <v>25</v>
      </c>
      <c r="G331" t="s">
        <v>57</v>
      </c>
      <c r="H331" t="s">
        <v>40</v>
      </c>
      <c r="I331" t="s">
        <v>53</v>
      </c>
      <c r="J331" t="s">
        <v>74</v>
      </c>
      <c r="K331" t="s">
        <v>40</v>
      </c>
      <c r="L331" s="3">
        <v>18673</v>
      </c>
      <c r="M331" s="3">
        <v>19700</v>
      </c>
      <c r="N331" t="s">
        <v>41</v>
      </c>
      <c r="O331" t="s">
        <v>42</v>
      </c>
      <c r="P331" t="s">
        <v>32</v>
      </c>
      <c r="Q331" t="s">
        <v>34</v>
      </c>
      <c r="R331" t="s">
        <v>33</v>
      </c>
      <c r="S331" s="3">
        <v>63732</v>
      </c>
      <c r="T331" t="str">
        <f>TEXT(tblTransactions[[#This Row],[Date]],"mmm")</f>
        <v>Jan</v>
      </c>
      <c r="U331" t="str">
        <f>"Q"&amp;ROUNDUP(MONTH(tblTransactions[[#This Row],[Date]])/3,0)</f>
        <v>Q1</v>
      </c>
      <c r="V331">
        <f>MONTH(tblTransactions[[#This Row],[Date]])</f>
        <v>1</v>
      </c>
    </row>
    <row r="332" spans="1:22" x14ac:dyDescent="0.4">
      <c r="A332" t="s">
        <v>406</v>
      </c>
      <c r="B332" s="2">
        <v>46032</v>
      </c>
      <c r="C332">
        <v>2026</v>
      </c>
      <c r="D332" t="s">
        <v>68</v>
      </c>
      <c r="E332" t="s">
        <v>86</v>
      </c>
      <c r="F332" t="s">
        <v>25</v>
      </c>
      <c r="G332" t="s">
        <v>57</v>
      </c>
      <c r="H332" t="s">
        <v>40</v>
      </c>
      <c r="I332" t="s">
        <v>48</v>
      </c>
      <c r="J332" t="s">
        <v>40</v>
      </c>
      <c r="K332" t="s">
        <v>40</v>
      </c>
      <c r="L332" s="3">
        <v>15746</v>
      </c>
      <c r="M332" s="3">
        <v>12887</v>
      </c>
      <c r="N332" t="s">
        <v>54</v>
      </c>
      <c r="O332" t="s">
        <v>50</v>
      </c>
      <c r="P332" t="s">
        <v>32</v>
      </c>
      <c r="Q332" t="s">
        <v>34</v>
      </c>
      <c r="R332" t="s">
        <v>34</v>
      </c>
      <c r="S332" s="3">
        <v>47986</v>
      </c>
      <c r="T332" t="str">
        <f>TEXT(tblTransactions[[#This Row],[Date]],"mmm")</f>
        <v>Jan</v>
      </c>
      <c r="U332" t="str">
        <f>"Q"&amp;ROUNDUP(MONTH(tblTransactions[[#This Row],[Date]])/3,0)</f>
        <v>Q1</v>
      </c>
      <c r="V332">
        <f>MONTH(tblTransactions[[#This Row],[Date]])</f>
        <v>1</v>
      </c>
    </row>
    <row r="333" spans="1:22" x14ac:dyDescent="0.4">
      <c r="A333" t="s">
        <v>407</v>
      </c>
      <c r="B333" s="2">
        <v>46033</v>
      </c>
      <c r="C333">
        <v>2026</v>
      </c>
      <c r="D333" t="s">
        <v>68</v>
      </c>
      <c r="E333" t="s">
        <v>36</v>
      </c>
      <c r="F333" t="s">
        <v>25</v>
      </c>
      <c r="G333" t="s">
        <v>98</v>
      </c>
      <c r="H333" t="s">
        <v>99</v>
      </c>
      <c r="I333" t="s">
        <v>44</v>
      </c>
      <c r="J333" t="s">
        <v>90</v>
      </c>
      <c r="K333" t="s">
        <v>99</v>
      </c>
      <c r="L333" s="3">
        <v>14712</v>
      </c>
      <c r="M333" s="3">
        <v>18499</v>
      </c>
      <c r="N333" t="s">
        <v>54</v>
      </c>
      <c r="O333" t="s">
        <v>55</v>
      </c>
      <c r="P333" t="s">
        <v>32</v>
      </c>
      <c r="Q333" t="s">
        <v>34</v>
      </c>
      <c r="R333" t="s">
        <v>33</v>
      </c>
      <c r="S333" s="3">
        <v>33274</v>
      </c>
      <c r="T333" t="str">
        <f>TEXT(tblTransactions[[#This Row],[Date]],"mmm")</f>
        <v>Jan</v>
      </c>
      <c r="U333" t="str">
        <f>"Q"&amp;ROUNDUP(MONTH(tblTransactions[[#This Row],[Date]])/3,0)</f>
        <v>Q1</v>
      </c>
      <c r="V333">
        <f>MONTH(tblTransactions[[#This Row],[Date]])</f>
        <v>1</v>
      </c>
    </row>
    <row r="334" spans="1:22" x14ac:dyDescent="0.4">
      <c r="A334" t="s">
        <v>408</v>
      </c>
      <c r="B334" s="2">
        <v>46035</v>
      </c>
      <c r="C334">
        <v>2026</v>
      </c>
      <c r="D334" t="s">
        <v>23</v>
      </c>
      <c r="E334" t="s">
        <v>24</v>
      </c>
      <c r="F334" t="s">
        <v>25</v>
      </c>
      <c r="G334" t="s">
        <v>70</v>
      </c>
      <c r="H334" t="s">
        <v>71</v>
      </c>
      <c r="I334" t="s">
        <v>39</v>
      </c>
      <c r="J334" t="s">
        <v>90</v>
      </c>
      <c r="K334" t="s">
        <v>71</v>
      </c>
      <c r="L334" s="3">
        <v>4127</v>
      </c>
      <c r="M334" s="3">
        <v>18028</v>
      </c>
      <c r="N334" t="s">
        <v>54</v>
      </c>
      <c r="O334" t="s">
        <v>31</v>
      </c>
      <c r="P334" t="s">
        <v>32</v>
      </c>
      <c r="Q334" t="s">
        <v>34</v>
      </c>
      <c r="R334" t="s">
        <v>34</v>
      </c>
      <c r="S334" s="3">
        <v>29147</v>
      </c>
      <c r="T334" t="str">
        <f>TEXT(tblTransactions[[#This Row],[Date]],"mmm")</f>
        <v>Jan</v>
      </c>
      <c r="U334" t="str">
        <f>"Q"&amp;ROUNDUP(MONTH(tblTransactions[[#This Row],[Date]])/3,0)</f>
        <v>Q1</v>
      </c>
      <c r="V334">
        <f>MONTH(tblTransactions[[#This Row],[Date]])</f>
        <v>1</v>
      </c>
    </row>
    <row r="335" spans="1:22" x14ac:dyDescent="0.4">
      <c r="A335" t="s">
        <v>409</v>
      </c>
      <c r="B335" s="2">
        <v>46036</v>
      </c>
      <c r="C335">
        <v>2026</v>
      </c>
      <c r="D335" t="s">
        <v>23</v>
      </c>
      <c r="E335" t="s">
        <v>45</v>
      </c>
      <c r="F335" t="s">
        <v>25</v>
      </c>
      <c r="G335" t="s">
        <v>104</v>
      </c>
      <c r="H335" t="s">
        <v>105</v>
      </c>
      <c r="I335" t="s">
        <v>44</v>
      </c>
      <c r="J335" t="s">
        <v>59</v>
      </c>
      <c r="K335" t="s">
        <v>105</v>
      </c>
      <c r="L335" s="3">
        <v>13206</v>
      </c>
      <c r="M335" s="3">
        <v>15051</v>
      </c>
      <c r="N335" t="s">
        <v>30</v>
      </c>
      <c r="O335" t="s">
        <v>31</v>
      </c>
      <c r="P335" t="s">
        <v>32</v>
      </c>
      <c r="Q335" t="s">
        <v>34</v>
      </c>
      <c r="R335" t="s">
        <v>34</v>
      </c>
      <c r="S335" s="3">
        <v>15941</v>
      </c>
      <c r="T335" t="str">
        <f>TEXT(tblTransactions[[#This Row],[Date]],"mmm")</f>
        <v>Jan</v>
      </c>
      <c r="U335" t="str">
        <f>"Q"&amp;ROUNDUP(MONTH(tblTransactions[[#This Row],[Date]])/3,0)</f>
        <v>Q1</v>
      </c>
      <c r="V335">
        <f>MONTH(tblTransactions[[#This Row],[Date]])</f>
        <v>1</v>
      </c>
    </row>
    <row r="336" spans="1:22" x14ac:dyDescent="0.4">
      <c r="A336" t="s">
        <v>410</v>
      </c>
      <c r="B336" s="2">
        <v>46037</v>
      </c>
      <c r="C336">
        <v>2026</v>
      </c>
      <c r="D336" t="s">
        <v>23</v>
      </c>
      <c r="E336" t="s">
        <v>36</v>
      </c>
      <c r="F336" t="s">
        <v>25</v>
      </c>
      <c r="G336" t="s">
        <v>63</v>
      </c>
      <c r="H336" t="s">
        <v>64</v>
      </c>
      <c r="I336" t="s">
        <v>53</v>
      </c>
      <c r="J336" t="s">
        <v>90</v>
      </c>
      <c r="K336" t="s">
        <v>64</v>
      </c>
      <c r="L336" s="3">
        <v>7919</v>
      </c>
      <c r="M336" s="3">
        <v>19291</v>
      </c>
      <c r="N336" t="s">
        <v>41</v>
      </c>
      <c r="O336" t="s">
        <v>31</v>
      </c>
      <c r="P336" t="s">
        <v>32</v>
      </c>
      <c r="Q336" t="s">
        <v>34</v>
      </c>
      <c r="R336" t="s">
        <v>34</v>
      </c>
      <c r="S336" s="3">
        <v>8022</v>
      </c>
      <c r="T336" t="str">
        <f>TEXT(tblTransactions[[#This Row],[Date]],"mmm")</f>
        <v>Jan</v>
      </c>
      <c r="U336" t="str">
        <f>"Q"&amp;ROUNDUP(MONTH(tblTransactions[[#This Row],[Date]])/3,0)</f>
        <v>Q1</v>
      </c>
      <c r="V336">
        <f>MONTH(tblTransactions[[#This Row],[Date]])</f>
        <v>1</v>
      </c>
    </row>
    <row r="337" spans="1:22" x14ac:dyDescent="0.4">
      <c r="A337" t="s">
        <v>411</v>
      </c>
      <c r="B337" s="2">
        <v>46038</v>
      </c>
      <c r="C337">
        <v>2026</v>
      </c>
      <c r="D337" t="s">
        <v>44</v>
      </c>
      <c r="E337" t="s">
        <v>86</v>
      </c>
      <c r="F337" t="s">
        <v>25</v>
      </c>
      <c r="G337" t="s">
        <v>26</v>
      </c>
      <c r="H337" t="s">
        <v>27</v>
      </c>
      <c r="I337" t="s">
        <v>39</v>
      </c>
      <c r="J337" t="s">
        <v>59</v>
      </c>
      <c r="K337" t="s">
        <v>27</v>
      </c>
      <c r="L337" s="3">
        <v>13154</v>
      </c>
      <c r="M337" s="3">
        <v>13378</v>
      </c>
      <c r="N337" t="s">
        <v>60</v>
      </c>
      <c r="O337" t="s">
        <v>55</v>
      </c>
      <c r="P337" t="s">
        <v>32</v>
      </c>
      <c r="Q337" t="s">
        <v>34</v>
      </c>
      <c r="R337" t="s">
        <v>34</v>
      </c>
      <c r="S337" s="3">
        <v>-5132</v>
      </c>
      <c r="T337" t="str">
        <f>TEXT(tblTransactions[[#This Row],[Date]],"mmm")</f>
        <v>Jan</v>
      </c>
      <c r="U337" t="str">
        <f>"Q"&amp;ROUNDUP(MONTH(tblTransactions[[#This Row],[Date]])/3,0)</f>
        <v>Q1</v>
      </c>
      <c r="V337">
        <f>MONTH(tblTransactions[[#This Row],[Date]])</f>
        <v>1</v>
      </c>
    </row>
    <row r="338" spans="1:22" x14ac:dyDescent="0.4">
      <c r="A338" t="s">
        <v>412</v>
      </c>
      <c r="B338" s="2">
        <v>46039</v>
      </c>
      <c r="C338">
        <v>2026</v>
      </c>
      <c r="D338" t="s">
        <v>68</v>
      </c>
      <c r="E338" t="s">
        <v>36</v>
      </c>
      <c r="F338" t="s">
        <v>37</v>
      </c>
      <c r="G338" t="s">
        <v>77</v>
      </c>
      <c r="H338" t="s">
        <v>78</v>
      </c>
      <c r="I338" t="s">
        <v>39</v>
      </c>
      <c r="J338" t="s">
        <v>90</v>
      </c>
      <c r="K338" t="s">
        <v>78</v>
      </c>
      <c r="L338" s="3">
        <v>73482</v>
      </c>
      <c r="M338" s="3">
        <v>0</v>
      </c>
      <c r="N338" t="s">
        <v>30</v>
      </c>
      <c r="O338" t="s">
        <v>42</v>
      </c>
      <c r="P338" t="s">
        <v>32</v>
      </c>
      <c r="Q338" t="s">
        <v>34</v>
      </c>
      <c r="R338" t="s">
        <v>34</v>
      </c>
      <c r="S338" s="3">
        <v>68350</v>
      </c>
      <c r="T338" t="str">
        <f>TEXT(tblTransactions[[#This Row],[Date]],"mmm")</f>
        <v>Jan</v>
      </c>
      <c r="U338" t="str">
        <f>"Q"&amp;ROUNDUP(MONTH(tblTransactions[[#This Row],[Date]])/3,0)</f>
        <v>Q1</v>
      </c>
      <c r="V338">
        <f>MONTH(tblTransactions[[#This Row],[Date]])</f>
        <v>1</v>
      </c>
    </row>
    <row r="339" spans="1:22" x14ac:dyDescent="0.4">
      <c r="A339" t="s">
        <v>413</v>
      </c>
      <c r="B339" s="2">
        <v>46040</v>
      </c>
      <c r="C339">
        <v>2026</v>
      </c>
      <c r="D339" t="s">
        <v>68</v>
      </c>
      <c r="E339" t="s">
        <v>45</v>
      </c>
      <c r="F339" t="s">
        <v>25</v>
      </c>
      <c r="G339" t="s">
        <v>26</v>
      </c>
      <c r="H339" t="s">
        <v>27</v>
      </c>
      <c r="I339" t="s">
        <v>53</v>
      </c>
      <c r="J339" t="s">
        <v>84</v>
      </c>
      <c r="K339" t="s">
        <v>27</v>
      </c>
      <c r="L339" s="3">
        <v>17135</v>
      </c>
      <c r="M339" s="3">
        <v>1142</v>
      </c>
      <c r="N339" t="s">
        <v>41</v>
      </c>
      <c r="O339" t="s">
        <v>31</v>
      </c>
      <c r="P339" t="s">
        <v>32</v>
      </c>
      <c r="Q339" t="s">
        <v>33</v>
      </c>
      <c r="R339" t="s">
        <v>34</v>
      </c>
      <c r="S339" s="3">
        <v>51215</v>
      </c>
      <c r="T339" t="str">
        <f>TEXT(tblTransactions[[#This Row],[Date]],"mmm")</f>
        <v>Jan</v>
      </c>
      <c r="U339" t="str">
        <f>"Q"&amp;ROUNDUP(MONTH(tblTransactions[[#This Row],[Date]])/3,0)</f>
        <v>Q1</v>
      </c>
      <c r="V339">
        <f>MONTH(tblTransactions[[#This Row],[Date]])</f>
        <v>1</v>
      </c>
    </row>
    <row r="340" spans="1:22" x14ac:dyDescent="0.4">
      <c r="A340" t="s">
        <v>414</v>
      </c>
      <c r="B340" s="2">
        <v>46041</v>
      </c>
      <c r="C340">
        <v>2026</v>
      </c>
      <c r="D340" t="s">
        <v>23</v>
      </c>
      <c r="E340" t="s">
        <v>36</v>
      </c>
      <c r="F340" t="s">
        <v>37</v>
      </c>
      <c r="G340" t="s">
        <v>93</v>
      </c>
      <c r="H340" t="s">
        <v>94</v>
      </c>
      <c r="I340" t="s">
        <v>39</v>
      </c>
      <c r="J340" t="s">
        <v>84</v>
      </c>
      <c r="K340" t="s">
        <v>94</v>
      </c>
      <c r="L340" s="3">
        <v>76178</v>
      </c>
      <c r="M340" s="3">
        <v>0</v>
      </c>
      <c r="N340" t="s">
        <v>60</v>
      </c>
      <c r="O340" t="s">
        <v>55</v>
      </c>
      <c r="P340" t="s">
        <v>32</v>
      </c>
      <c r="Q340" t="s">
        <v>34</v>
      </c>
      <c r="R340" t="s">
        <v>34</v>
      </c>
      <c r="S340" s="3">
        <v>127393</v>
      </c>
      <c r="T340" t="str">
        <f>TEXT(tblTransactions[[#This Row],[Date]],"mmm")</f>
        <v>Jan</v>
      </c>
      <c r="U340" t="str">
        <f>"Q"&amp;ROUNDUP(MONTH(tblTransactions[[#This Row],[Date]])/3,0)</f>
        <v>Q1</v>
      </c>
      <c r="V340">
        <f>MONTH(tblTransactions[[#This Row],[Date]])</f>
        <v>1</v>
      </c>
    </row>
    <row r="341" spans="1:22" x14ac:dyDescent="0.4">
      <c r="A341" t="s">
        <v>415</v>
      </c>
      <c r="B341" s="2">
        <v>46042</v>
      </c>
      <c r="C341">
        <v>2026</v>
      </c>
      <c r="D341" t="s">
        <v>23</v>
      </c>
      <c r="E341" t="s">
        <v>86</v>
      </c>
      <c r="F341" t="s">
        <v>25</v>
      </c>
      <c r="G341" t="s">
        <v>98</v>
      </c>
      <c r="H341" t="s">
        <v>99</v>
      </c>
      <c r="I341" t="s">
        <v>44</v>
      </c>
      <c r="J341" t="s">
        <v>84</v>
      </c>
      <c r="K341" t="s">
        <v>99</v>
      </c>
      <c r="L341" s="3">
        <v>2111</v>
      </c>
      <c r="M341" s="3">
        <v>5324</v>
      </c>
      <c r="N341" t="s">
        <v>54</v>
      </c>
      <c r="O341" t="s">
        <v>31</v>
      </c>
      <c r="P341" t="s">
        <v>32</v>
      </c>
      <c r="Q341" t="s">
        <v>34</v>
      </c>
      <c r="R341" t="s">
        <v>34</v>
      </c>
      <c r="S341" s="3">
        <v>125282</v>
      </c>
      <c r="T341" t="str">
        <f>TEXT(tblTransactions[[#This Row],[Date]],"mmm")</f>
        <v>Jan</v>
      </c>
      <c r="U341" t="str">
        <f>"Q"&amp;ROUNDUP(MONTH(tblTransactions[[#This Row],[Date]])/3,0)</f>
        <v>Q1</v>
      </c>
      <c r="V341">
        <f>MONTH(tblTransactions[[#This Row],[Date]])</f>
        <v>1</v>
      </c>
    </row>
    <row r="342" spans="1:22" x14ac:dyDescent="0.4">
      <c r="A342" t="s">
        <v>416</v>
      </c>
      <c r="B342" s="2">
        <v>46043</v>
      </c>
      <c r="C342">
        <v>2026</v>
      </c>
      <c r="D342" t="s">
        <v>68</v>
      </c>
      <c r="E342" t="s">
        <v>45</v>
      </c>
      <c r="F342" t="s">
        <v>25</v>
      </c>
      <c r="G342" t="s">
        <v>57</v>
      </c>
      <c r="H342" t="s">
        <v>40</v>
      </c>
      <c r="I342" t="s">
        <v>44</v>
      </c>
      <c r="J342" t="s">
        <v>29</v>
      </c>
      <c r="K342" t="s">
        <v>40</v>
      </c>
      <c r="L342" s="3">
        <v>15888</v>
      </c>
      <c r="M342" s="3">
        <v>15243</v>
      </c>
      <c r="N342" t="s">
        <v>60</v>
      </c>
      <c r="O342" t="s">
        <v>55</v>
      </c>
      <c r="P342" t="s">
        <v>32</v>
      </c>
      <c r="Q342" t="s">
        <v>33</v>
      </c>
      <c r="R342" t="s">
        <v>34</v>
      </c>
      <c r="S342" s="3">
        <v>109394</v>
      </c>
      <c r="T342" t="str">
        <f>TEXT(tblTransactions[[#This Row],[Date]],"mmm")</f>
        <v>Jan</v>
      </c>
      <c r="U342" t="str">
        <f>"Q"&amp;ROUNDUP(MONTH(tblTransactions[[#This Row],[Date]])/3,0)</f>
        <v>Q1</v>
      </c>
      <c r="V342">
        <f>MONTH(tblTransactions[[#This Row],[Date]])</f>
        <v>1</v>
      </c>
    </row>
    <row r="343" spans="1:22" x14ac:dyDescent="0.4">
      <c r="A343" t="s">
        <v>417</v>
      </c>
      <c r="B343" s="2">
        <v>46044</v>
      </c>
      <c r="C343">
        <v>2026</v>
      </c>
      <c r="D343" t="s">
        <v>68</v>
      </c>
      <c r="E343" t="s">
        <v>36</v>
      </c>
      <c r="F343" t="s">
        <v>25</v>
      </c>
      <c r="G343" t="s">
        <v>73</v>
      </c>
      <c r="H343" t="s">
        <v>74</v>
      </c>
      <c r="I343" t="s">
        <v>53</v>
      </c>
      <c r="J343" t="s">
        <v>59</v>
      </c>
      <c r="K343" t="s">
        <v>74</v>
      </c>
      <c r="L343" s="3">
        <v>6602</v>
      </c>
      <c r="M343" s="3">
        <v>15607</v>
      </c>
      <c r="N343" t="s">
        <v>54</v>
      </c>
      <c r="O343" t="s">
        <v>42</v>
      </c>
      <c r="P343" t="s">
        <v>32</v>
      </c>
      <c r="Q343" t="s">
        <v>33</v>
      </c>
      <c r="R343" t="s">
        <v>33</v>
      </c>
      <c r="S343" s="3">
        <v>102792</v>
      </c>
      <c r="T343" t="str">
        <f>TEXT(tblTransactions[[#This Row],[Date]],"mmm")</f>
        <v>Jan</v>
      </c>
      <c r="U343" t="str">
        <f>"Q"&amp;ROUNDUP(MONTH(tblTransactions[[#This Row],[Date]])/3,0)</f>
        <v>Q1</v>
      </c>
      <c r="V343">
        <f>MONTH(tblTransactions[[#This Row],[Date]])</f>
        <v>1</v>
      </c>
    </row>
    <row r="344" spans="1:22" x14ac:dyDescent="0.4">
      <c r="A344" t="s">
        <v>418</v>
      </c>
      <c r="B344" s="2">
        <v>46045</v>
      </c>
      <c r="C344">
        <v>2026</v>
      </c>
      <c r="D344" t="s">
        <v>23</v>
      </c>
      <c r="E344" t="s">
        <v>86</v>
      </c>
      <c r="F344" t="s">
        <v>25</v>
      </c>
      <c r="G344" t="s">
        <v>70</v>
      </c>
      <c r="H344" t="s">
        <v>71</v>
      </c>
      <c r="I344" t="s">
        <v>48</v>
      </c>
      <c r="J344" t="s">
        <v>29</v>
      </c>
      <c r="K344" t="s">
        <v>71</v>
      </c>
      <c r="L344" s="3">
        <v>13380</v>
      </c>
      <c r="M344" s="3">
        <v>11521</v>
      </c>
      <c r="N344" t="s">
        <v>54</v>
      </c>
      <c r="O344" t="s">
        <v>31</v>
      </c>
      <c r="P344" t="s">
        <v>32</v>
      </c>
      <c r="Q344" t="s">
        <v>33</v>
      </c>
      <c r="R344" t="s">
        <v>34</v>
      </c>
      <c r="S344" s="3">
        <v>89412</v>
      </c>
      <c r="T344" t="str">
        <f>TEXT(tblTransactions[[#This Row],[Date]],"mmm")</f>
        <v>Jan</v>
      </c>
      <c r="U344" t="str">
        <f>"Q"&amp;ROUNDUP(MONTH(tblTransactions[[#This Row],[Date]])/3,0)</f>
        <v>Q1</v>
      </c>
      <c r="V344">
        <f>MONTH(tblTransactions[[#This Row],[Date]])</f>
        <v>1</v>
      </c>
    </row>
    <row r="345" spans="1:22" x14ac:dyDescent="0.4">
      <c r="A345" t="s">
        <v>419</v>
      </c>
      <c r="B345" s="2">
        <v>46046</v>
      </c>
      <c r="C345">
        <v>2026</v>
      </c>
      <c r="D345" t="s">
        <v>44</v>
      </c>
      <c r="E345" t="s">
        <v>24</v>
      </c>
      <c r="F345" t="s">
        <v>25</v>
      </c>
      <c r="G345" t="s">
        <v>70</v>
      </c>
      <c r="H345" t="s">
        <v>71</v>
      </c>
      <c r="I345" t="s">
        <v>44</v>
      </c>
      <c r="J345" t="s">
        <v>65</v>
      </c>
      <c r="K345" t="s">
        <v>71</v>
      </c>
      <c r="L345" s="3">
        <v>5422</v>
      </c>
      <c r="M345" s="3">
        <v>4427</v>
      </c>
      <c r="N345" t="s">
        <v>54</v>
      </c>
      <c r="O345" t="s">
        <v>31</v>
      </c>
      <c r="P345" t="s">
        <v>32</v>
      </c>
      <c r="Q345" t="s">
        <v>34</v>
      </c>
      <c r="R345" t="s">
        <v>34</v>
      </c>
      <c r="S345" s="3">
        <v>83990</v>
      </c>
      <c r="T345" t="str">
        <f>TEXT(tblTransactions[[#This Row],[Date]],"mmm")</f>
        <v>Jan</v>
      </c>
      <c r="U345" t="str">
        <f>"Q"&amp;ROUNDUP(MONTH(tblTransactions[[#This Row],[Date]])/3,0)</f>
        <v>Q1</v>
      </c>
      <c r="V345">
        <f>MONTH(tblTransactions[[#This Row],[Date]])</f>
        <v>1</v>
      </c>
    </row>
    <row r="346" spans="1:22" x14ac:dyDescent="0.4">
      <c r="A346" t="s">
        <v>420</v>
      </c>
      <c r="B346" s="2">
        <v>46047</v>
      </c>
      <c r="C346">
        <v>2026</v>
      </c>
      <c r="D346" t="s">
        <v>44</v>
      </c>
      <c r="E346" t="s">
        <v>45</v>
      </c>
      <c r="F346" t="s">
        <v>25</v>
      </c>
      <c r="G346" t="s">
        <v>73</v>
      </c>
      <c r="H346" t="s">
        <v>74</v>
      </c>
      <c r="I346" t="s">
        <v>48</v>
      </c>
      <c r="J346" t="s">
        <v>40</v>
      </c>
      <c r="K346" t="s">
        <v>74</v>
      </c>
      <c r="L346" s="3">
        <v>8753</v>
      </c>
      <c r="M346" s="3">
        <v>18954</v>
      </c>
      <c r="N346" t="s">
        <v>54</v>
      </c>
      <c r="O346" t="s">
        <v>31</v>
      </c>
      <c r="P346" t="s">
        <v>32</v>
      </c>
      <c r="Q346" t="s">
        <v>34</v>
      </c>
      <c r="R346" t="s">
        <v>34</v>
      </c>
      <c r="S346" s="3">
        <v>75237</v>
      </c>
      <c r="T346" t="str">
        <f>TEXT(tblTransactions[[#This Row],[Date]],"mmm")</f>
        <v>Jan</v>
      </c>
      <c r="U346" t="str">
        <f>"Q"&amp;ROUNDUP(MONTH(tblTransactions[[#This Row],[Date]])/3,0)</f>
        <v>Q1</v>
      </c>
      <c r="V346">
        <f>MONTH(tblTransactions[[#This Row],[Date]])</f>
        <v>1</v>
      </c>
    </row>
    <row r="347" spans="1:22" x14ac:dyDescent="0.4">
      <c r="A347" t="s">
        <v>421</v>
      </c>
      <c r="B347" s="2">
        <v>46048</v>
      </c>
      <c r="C347">
        <v>2026</v>
      </c>
      <c r="D347" t="s">
        <v>23</v>
      </c>
      <c r="E347" t="s">
        <v>24</v>
      </c>
      <c r="F347" t="s">
        <v>37</v>
      </c>
      <c r="G347" t="s">
        <v>52</v>
      </c>
      <c r="H347" t="s">
        <v>52</v>
      </c>
      <c r="I347" t="s">
        <v>28</v>
      </c>
      <c r="J347" t="s">
        <v>40</v>
      </c>
      <c r="K347" t="s">
        <v>52</v>
      </c>
      <c r="L347" s="3">
        <v>50340</v>
      </c>
      <c r="M347" s="3">
        <v>0</v>
      </c>
      <c r="N347" t="s">
        <v>30</v>
      </c>
      <c r="O347" t="s">
        <v>31</v>
      </c>
      <c r="P347" t="s">
        <v>32</v>
      </c>
      <c r="Q347" t="s">
        <v>34</v>
      </c>
      <c r="R347" t="s">
        <v>34</v>
      </c>
      <c r="S347" s="3">
        <v>125577</v>
      </c>
      <c r="T347" t="str">
        <f>TEXT(tblTransactions[[#This Row],[Date]],"mmm")</f>
        <v>Jan</v>
      </c>
      <c r="U347" t="str">
        <f>"Q"&amp;ROUNDUP(MONTH(tblTransactions[[#This Row],[Date]])/3,0)</f>
        <v>Q1</v>
      </c>
      <c r="V347">
        <f>MONTH(tblTransactions[[#This Row],[Date]])</f>
        <v>1</v>
      </c>
    </row>
    <row r="348" spans="1:22" x14ac:dyDescent="0.4">
      <c r="A348" t="s">
        <v>422</v>
      </c>
      <c r="B348" s="2">
        <v>46049</v>
      </c>
      <c r="C348">
        <v>2026</v>
      </c>
      <c r="D348" t="s">
        <v>68</v>
      </c>
      <c r="E348" t="s">
        <v>24</v>
      </c>
      <c r="F348" t="s">
        <v>37</v>
      </c>
      <c r="G348" t="s">
        <v>52</v>
      </c>
      <c r="H348" t="s">
        <v>52</v>
      </c>
      <c r="I348" t="s">
        <v>39</v>
      </c>
      <c r="J348" t="s">
        <v>59</v>
      </c>
      <c r="K348" t="s">
        <v>52</v>
      </c>
      <c r="L348" s="3">
        <v>71228</v>
      </c>
      <c r="M348" s="3">
        <v>0</v>
      </c>
      <c r="N348" t="s">
        <v>30</v>
      </c>
      <c r="O348" t="s">
        <v>42</v>
      </c>
      <c r="P348" t="s">
        <v>32</v>
      </c>
      <c r="Q348" t="s">
        <v>33</v>
      </c>
      <c r="R348" t="s">
        <v>33</v>
      </c>
      <c r="S348" s="3">
        <v>196805</v>
      </c>
      <c r="T348" t="str">
        <f>TEXT(tblTransactions[[#This Row],[Date]],"mmm")</f>
        <v>Jan</v>
      </c>
      <c r="U348" t="str">
        <f>"Q"&amp;ROUNDUP(MONTH(tblTransactions[[#This Row],[Date]])/3,0)</f>
        <v>Q1</v>
      </c>
      <c r="V348">
        <f>MONTH(tblTransactions[[#This Row],[Date]])</f>
        <v>1</v>
      </c>
    </row>
    <row r="349" spans="1:22" x14ac:dyDescent="0.4">
      <c r="A349" t="s">
        <v>423</v>
      </c>
      <c r="B349" s="2">
        <v>46050</v>
      </c>
      <c r="C349">
        <v>2026</v>
      </c>
      <c r="D349" t="s">
        <v>68</v>
      </c>
      <c r="E349" t="s">
        <v>86</v>
      </c>
      <c r="F349" t="s">
        <v>25</v>
      </c>
      <c r="G349" t="s">
        <v>70</v>
      </c>
      <c r="H349" t="s">
        <v>71</v>
      </c>
      <c r="I349" t="s">
        <v>28</v>
      </c>
      <c r="J349" t="s">
        <v>49</v>
      </c>
      <c r="K349" t="s">
        <v>71</v>
      </c>
      <c r="L349" s="3">
        <v>7437</v>
      </c>
      <c r="M349" s="3">
        <v>3343</v>
      </c>
      <c r="N349" t="s">
        <v>60</v>
      </c>
      <c r="O349" t="s">
        <v>50</v>
      </c>
      <c r="P349" t="s">
        <v>32</v>
      </c>
      <c r="Q349" t="s">
        <v>34</v>
      </c>
      <c r="R349" t="s">
        <v>33</v>
      </c>
      <c r="S349" s="3">
        <v>189368</v>
      </c>
      <c r="T349" t="str">
        <f>TEXT(tblTransactions[[#This Row],[Date]],"mmm")</f>
        <v>Jan</v>
      </c>
      <c r="U349" t="str">
        <f>"Q"&amp;ROUNDUP(MONTH(tblTransactions[[#This Row],[Date]])/3,0)</f>
        <v>Q1</v>
      </c>
      <c r="V349">
        <f>MONTH(tblTransactions[[#This Row],[Date]])</f>
        <v>1</v>
      </c>
    </row>
    <row r="350" spans="1:22" x14ac:dyDescent="0.4">
      <c r="A350" t="s">
        <v>424</v>
      </c>
      <c r="B350" s="2">
        <v>46051</v>
      </c>
      <c r="C350">
        <v>2026</v>
      </c>
      <c r="D350" t="s">
        <v>44</v>
      </c>
      <c r="E350" t="s">
        <v>86</v>
      </c>
      <c r="F350" t="s">
        <v>25</v>
      </c>
      <c r="G350" t="s">
        <v>98</v>
      </c>
      <c r="H350" t="s">
        <v>99</v>
      </c>
      <c r="I350" t="s">
        <v>28</v>
      </c>
      <c r="J350" t="s">
        <v>90</v>
      </c>
      <c r="K350" t="s">
        <v>99</v>
      </c>
      <c r="L350" s="3">
        <v>15067</v>
      </c>
      <c r="M350" s="3">
        <v>17152</v>
      </c>
      <c r="N350" t="s">
        <v>41</v>
      </c>
      <c r="O350" t="s">
        <v>50</v>
      </c>
      <c r="P350" t="s">
        <v>32</v>
      </c>
      <c r="Q350" t="s">
        <v>34</v>
      </c>
      <c r="R350" t="s">
        <v>34</v>
      </c>
      <c r="S350" s="3">
        <v>174301</v>
      </c>
      <c r="T350" t="str">
        <f>TEXT(tblTransactions[[#This Row],[Date]],"mmm")</f>
        <v>Jan</v>
      </c>
      <c r="U350" t="str">
        <f>"Q"&amp;ROUNDUP(MONTH(tblTransactions[[#This Row],[Date]])/3,0)</f>
        <v>Q1</v>
      </c>
      <c r="V350">
        <f>MONTH(tblTransactions[[#This Row],[Date]])</f>
        <v>1</v>
      </c>
    </row>
    <row r="351" spans="1:22" x14ac:dyDescent="0.4">
      <c r="A351" t="s">
        <v>425</v>
      </c>
      <c r="B351" s="2">
        <v>46052</v>
      </c>
      <c r="C351">
        <v>2026</v>
      </c>
      <c r="D351" t="s">
        <v>68</v>
      </c>
      <c r="E351" t="s">
        <v>36</v>
      </c>
      <c r="F351" t="s">
        <v>25</v>
      </c>
      <c r="G351" t="s">
        <v>104</v>
      </c>
      <c r="H351" t="s">
        <v>105</v>
      </c>
      <c r="I351" t="s">
        <v>53</v>
      </c>
      <c r="J351" t="s">
        <v>40</v>
      </c>
      <c r="K351" t="s">
        <v>105</v>
      </c>
      <c r="L351" s="3">
        <v>11100</v>
      </c>
      <c r="M351" s="3">
        <v>7904</v>
      </c>
      <c r="N351" t="s">
        <v>30</v>
      </c>
      <c r="O351" t="s">
        <v>55</v>
      </c>
      <c r="P351" t="s">
        <v>32</v>
      </c>
      <c r="Q351" t="s">
        <v>33</v>
      </c>
      <c r="R351" t="s">
        <v>34</v>
      </c>
      <c r="S351" s="3">
        <v>163201</v>
      </c>
      <c r="T351" t="str">
        <f>TEXT(tblTransactions[[#This Row],[Date]],"mmm")</f>
        <v>Jan</v>
      </c>
      <c r="U351" t="str">
        <f>"Q"&amp;ROUNDUP(MONTH(tblTransactions[[#This Row],[Date]])/3,0)</f>
        <v>Q1</v>
      </c>
      <c r="V351">
        <f>MONTH(tblTransactions[[#This Row],[Date]])</f>
        <v>1</v>
      </c>
    </row>
    <row r="352" spans="1:22" x14ac:dyDescent="0.4">
      <c r="A352" t="s">
        <v>426</v>
      </c>
      <c r="B352" s="2">
        <v>46053</v>
      </c>
      <c r="C352">
        <v>2026</v>
      </c>
      <c r="D352" t="s">
        <v>44</v>
      </c>
      <c r="E352" t="s">
        <v>24</v>
      </c>
      <c r="F352" t="s">
        <v>37</v>
      </c>
      <c r="G352" t="s">
        <v>93</v>
      </c>
      <c r="H352" t="s">
        <v>94</v>
      </c>
      <c r="I352" t="s">
        <v>44</v>
      </c>
      <c r="J352" t="s">
        <v>90</v>
      </c>
      <c r="K352" t="s">
        <v>94</v>
      </c>
      <c r="L352" s="3">
        <v>46388</v>
      </c>
      <c r="M352" s="3">
        <v>0</v>
      </c>
      <c r="N352" t="s">
        <v>30</v>
      </c>
      <c r="O352" t="s">
        <v>50</v>
      </c>
      <c r="P352" t="s">
        <v>32</v>
      </c>
      <c r="Q352" t="s">
        <v>34</v>
      </c>
      <c r="R352" t="s">
        <v>34</v>
      </c>
      <c r="S352" s="3">
        <v>209589</v>
      </c>
      <c r="T352" t="str">
        <f>TEXT(tblTransactions[[#This Row],[Date]],"mmm")</f>
        <v>Jan</v>
      </c>
      <c r="U352" t="str">
        <f>"Q"&amp;ROUNDUP(MONTH(tblTransactions[[#This Row],[Date]])/3,0)</f>
        <v>Q1</v>
      </c>
      <c r="V352">
        <f>MONTH(tblTransactions[[#This Row],[Date]])</f>
        <v>1</v>
      </c>
    </row>
    <row r="353" spans="1:22" x14ac:dyDescent="0.4">
      <c r="A353" t="s">
        <v>427</v>
      </c>
      <c r="B353" s="2">
        <v>46054</v>
      </c>
      <c r="C353">
        <v>2026</v>
      </c>
      <c r="D353" t="s">
        <v>44</v>
      </c>
      <c r="E353" t="s">
        <v>45</v>
      </c>
      <c r="F353" t="s">
        <v>25</v>
      </c>
      <c r="G353" t="s">
        <v>63</v>
      </c>
      <c r="H353" t="s">
        <v>64</v>
      </c>
      <c r="I353" t="s">
        <v>58</v>
      </c>
      <c r="J353" t="s">
        <v>40</v>
      </c>
      <c r="K353" t="s">
        <v>64</v>
      </c>
      <c r="L353" s="3">
        <v>1574</v>
      </c>
      <c r="M353" s="3">
        <v>15568</v>
      </c>
      <c r="N353" t="s">
        <v>60</v>
      </c>
      <c r="O353" t="s">
        <v>31</v>
      </c>
      <c r="P353" t="s">
        <v>32</v>
      </c>
      <c r="Q353" t="s">
        <v>33</v>
      </c>
      <c r="R353" t="s">
        <v>34</v>
      </c>
      <c r="S353" s="3">
        <v>208015</v>
      </c>
      <c r="T353" t="str">
        <f>TEXT(tblTransactions[[#This Row],[Date]],"mmm")</f>
        <v>Feb</v>
      </c>
      <c r="U353" t="str">
        <f>"Q"&amp;ROUNDUP(MONTH(tblTransactions[[#This Row],[Date]])/3,0)</f>
        <v>Q1</v>
      </c>
      <c r="V353">
        <f>MONTH(tblTransactions[[#This Row],[Date]])</f>
        <v>2</v>
      </c>
    </row>
    <row r="354" spans="1:22" x14ac:dyDescent="0.4">
      <c r="A354" t="s">
        <v>428</v>
      </c>
      <c r="B354" s="2">
        <v>46055</v>
      </c>
      <c r="C354">
        <v>2026</v>
      </c>
      <c r="D354" t="s">
        <v>23</v>
      </c>
      <c r="E354" t="s">
        <v>24</v>
      </c>
      <c r="F354" t="s">
        <v>37</v>
      </c>
      <c r="G354" t="s">
        <v>93</v>
      </c>
      <c r="H354" t="s">
        <v>94</v>
      </c>
      <c r="I354" t="s">
        <v>44</v>
      </c>
      <c r="J354" t="s">
        <v>84</v>
      </c>
      <c r="K354" t="s">
        <v>94</v>
      </c>
      <c r="L354" s="3">
        <v>5956</v>
      </c>
      <c r="M354" s="3">
        <v>0</v>
      </c>
      <c r="N354" t="s">
        <v>30</v>
      </c>
      <c r="O354" t="s">
        <v>42</v>
      </c>
      <c r="P354" t="s">
        <v>32</v>
      </c>
      <c r="Q354" t="s">
        <v>34</v>
      </c>
      <c r="R354" t="s">
        <v>34</v>
      </c>
      <c r="S354" s="3">
        <v>213971</v>
      </c>
      <c r="T354" t="str">
        <f>TEXT(tblTransactions[[#This Row],[Date]],"mmm")</f>
        <v>Feb</v>
      </c>
      <c r="U354" t="str">
        <f>"Q"&amp;ROUNDUP(MONTH(tblTransactions[[#This Row],[Date]])/3,0)</f>
        <v>Q1</v>
      </c>
      <c r="V354">
        <f>MONTH(tblTransactions[[#This Row],[Date]])</f>
        <v>2</v>
      </c>
    </row>
    <row r="355" spans="1:22" x14ac:dyDescent="0.4">
      <c r="A355" t="s">
        <v>429</v>
      </c>
      <c r="B355" s="2">
        <v>46056</v>
      </c>
      <c r="C355">
        <v>2026</v>
      </c>
      <c r="D355" t="s">
        <v>44</v>
      </c>
      <c r="E355" t="s">
        <v>24</v>
      </c>
      <c r="F355" t="s">
        <v>25</v>
      </c>
      <c r="G355" t="s">
        <v>70</v>
      </c>
      <c r="H355" t="s">
        <v>71</v>
      </c>
      <c r="I355" t="s">
        <v>28</v>
      </c>
      <c r="J355" t="s">
        <v>111</v>
      </c>
      <c r="K355" t="s">
        <v>71</v>
      </c>
      <c r="L355" s="3">
        <v>8180</v>
      </c>
      <c r="M355" s="3">
        <v>14052</v>
      </c>
      <c r="N355" t="s">
        <v>60</v>
      </c>
      <c r="O355" t="s">
        <v>50</v>
      </c>
      <c r="P355" t="s">
        <v>32</v>
      </c>
      <c r="Q355" t="s">
        <v>33</v>
      </c>
      <c r="R355" t="s">
        <v>34</v>
      </c>
      <c r="S355" s="3">
        <v>205791</v>
      </c>
      <c r="T355" t="str">
        <f>TEXT(tblTransactions[[#This Row],[Date]],"mmm")</f>
        <v>Feb</v>
      </c>
      <c r="U355" t="str">
        <f>"Q"&amp;ROUNDUP(MONTH(tblTransactions[[#This Row],[Date]])/3,0)</f>
        <v>Q1</v>
      </c>
      <c r="V355">
        <f>MONTH(tblTransactions[[#This Row],[Date]])</f>
        <v>2</v>
      </c>
    </row>
    <row r="356" spans="1:22" x14ac:dyDescent="0.4">
      <c r="A356" t="s">
        <v>430</v>
      </c>
      <c r="B356" s="2">
        <v>46057</v>
      </c>
      <c r="C356">
        <v>2026</v>
      </c>
      <c r="D356" t="s">
        <v>23</v>
      </c>
      <c r="E356" t="s">
        <v>86</v>
      </c>
      <c r="F356" t="s">
        <v>25</v>
      </c>
      <c r="G356" t="s">
        <v>104</v>
      </c>
      <c r="H356" t="s">
        <v>105</v>
      </c>
      <c r="I356" t="s">
        <v>48</v>
      </c>
      <c r="J356" t="s">
        <v>49</v>
      </c>
      <c r="K356" t="s">
        <v>105</v>
      </c>
      <c r="L356" s="3">
        <v>11657</v>
      </c>
      <c r="M356" s="3">
        <v>14917</v>
      </c>
      <c r="N356" t="s">
        <v>54</v>
      </c>
      <c r="O356" t="s">
        <v>50</v>
      </c>
      <c r="P356" t="s">
        <v>32</v>
      </c>
      <c r="Q356" t="s">
        <v>34</v>
      </c>
      <c r="R356" t="s">
        <v>34</v>
      </c>
      <c r="S356" s="3">
        <v>194134</v>
      </c>
      <c r="T356" t="str">
        <f>TEXT(tblTransactions[[#This Row],[Date]],"mmm")</f>
        <v>Feb</v>
      </c>
      <c r="U356" t="str">
        <f>"Q"&amp;ROUNDUP(MONTH(tblTransactions[[#This Row],[Date]])/3,0)</f>
        <v>Q1</v>
      </c>
      <c r="V356">
        <f>MONTH(tblTransactions[[#This Row],[Date]])</f>
        <v>2</v>
      </c>
    </row>
    <row r="357" spans="1:22" x14ac:dyDescent="0.4">
      <c r="A357" t="s">
        <v>431</v>
      </c>
      <c r="B357" s="2">
        <v>46061</v>
      </c>
      <c r="C357">
        <v>2026</v>
      </c>
      <c r="D357" t="s">
        <v>44</v>
      </c>
      <c r="E357" t="s">
        <v>36</v>
      </c>
      <c r="F357" t="s">
        <v>37</v>
      </c>
      <c r="G357" t="s">
        <v>77</v>
      </c>
      <c r="H357" t="s">
        <v>78</v>
      </c>
      <c r="I357" t="s">
        <v>28</v>
      </c>
      <c r="J357" t="s">
        <v>90</v>
      </c>
      <c r="K357" t="s">
        <v>78</v>
      </c>
      <c r="L357" s="3">
        <v>18066</v>
      </c>
      <c r="M357" s="3">
        <v>0</v>
      </c>
      <c r="N357" t="s">
        <v>54</v>
      </c>
      <c r="O357" t="s">
        <v>42</v>
      </c>
      <c r="P357" t="s">
        <v>32</v>
      </c>
      <c r="Q357" t="s">
        <v>33</v>
      </c>
      <c r="R357" t="s">
        <v>34</v>
      </c>
      <c r="S357" s="3">
        <v>212200</v>
      </c>
      <c r="T357" t="str">
        <f>TEXT(tblTransactions[[#This Row],[Date]],"mmm")</f>
        <v>Feb</v>
      </c>
      <c r="U357" t="str">
        <f>"Q"&amp;ROUNDUP(MONTH(tblTransactions[[#This Row],[Date]])/3,0)</f>
        <v>Q1</v>
      </c>
      <c r="V357">
        <f>MONTH(tblTransactions[[#This Row],[Date]])</f>
        <v>2</v>
      </c>
    </row>
    <row r="358" spans="1:22" x14ac:dyDescent="0.4">
      <c r="A358" t="s">
        <v>432</v>
      </c>
      <c r="B358" s="2">
        <v>46062</v>
      </c>
      <c r="C358">
        <v>2026</v>
      </c>
      <c r="D358" t="s">
        <v>44</v>
      </c>
      <c r="E358" t="s">
        <v>36</v>
      </c>
      <c r="F358" t="s">
        <v>37</v>
      </c>
      <c r="G358" t="s">
        <v>77</v>
      </c>
      <c r="H358" t="s">
        <v>78</v>
      </c>
      <c r="I358" t="s">
        <v>28</v>
      </c>
      <c r="J358" t="s">
        <v>90</v>
      </c>
      <c r="K358" t="s">
        <v>78</v>
      </c>
      <c r="L358" s="3">
        <v>13096</v>
      </c>
      <c r="M358" s="3">
        <v>0</v>
      </c>
      <c r="N358" t="s">
        <v>41</v>
      </c>
      <c r="O358" t="s">
        <v>55</v>
      </c>
      <c r="P358" t="s">
        <v>32</v>
      </c>
      <c r="Q358" t="s">
        <v>34</v>
      </c>
      <c r="R358" t="s">
        <v>34</v>
      </c>
      <c r="S358" s="3">
        <v>225296</v>
      </c>
      <c r="T358" t="str">
        <f>TEXT(tblTransactions[[#This Row],[Date]],"mmm")</f>
        <v>Feb</v>
      </c>
      <c r="U358" t="str">
        <f>"Q"&amp;ROUNDUP(MONTH(tblTransactions[[#This Row],[Date]])/3,0)</f>
        <v>Q1</v>
      </c>
      <c r="V358">
        <f>MONTH(tblTransactions[[#This Row],[Date]])</f>
        <v>2</v>
      </c>
    </row>
    <row r="359" spans="1:22" x14ac:dyDescent="0.4">
      <c r="A359" t="s">
        <v>433</v>
      </c>
      <c r="B359" s="2">
        <v>46063</v>
      </c>
      <c r="C359">
        <v>2026</v>
      </c>
      <c r="D359" t="s">
        <v>68</v>
      </c>
      <c r="E359" t="s">
        <v>45</v>
      </c>
      <c r="F359" t="s">
        <v>25</v>
      </c>
      <c r="G359" t="s">
        <v>57</v>
      </c>
      <c r="H359" t="s">
        <v>40</v>
      </c>
      <c r="I359" t="s">
        <v>44</v>
      </c>
      <c r="J359" t="s">
        <v>90</v>
      </c>
      <c r="K359" t="s">
        <v>40</v>
      </c>
      <c r="L359" s="3">
        <v>9568</v>
      </c>
      <c r="M359" s="3">
        <v>18652</v>
      </c>
      <c r="N359" t="s">
        <v>30</v>
      </c>
      <c r="O359" t="s">
        <v>31</v>
      </c>
      <c r="P359" t="s">
        <v>32</v>
      </c>
      <c r="Q359" t="s">
        <v>34</v>
      </c>
      <c r="R359" t="s">
        <v>34</v>
      </c>
      <c r="S359" s="3">
        <v>215728</v>
      </c>
      <c r="T359" t="str">
        <f>TEXT(tblTransactions[[#This Row],[Date]],"mmm")</f>
        <v>Feb</v>
      </c>
      <c r="U359" t="str">
        <f>"Q"&amp;ROUNDUP(MONTH(tblTransactions[[#This Row],[Date]])/3,0)</f>
        <v>Q1</v>
      </c>
      <c r="V359">
        <f>MONTH(tblTransactions[[#This Row],[Date]])</f>
        <v>2</v>
      </c>
    </row>
    <row r="360" spans="1:22" x14ac:dyDescent="0.4">
      <c r="A360" t="s">
        <v>434</v>
      </c>
      <c r="B360" s="2">
        <v>46064</v>
      </c>
      <c r="C360">
        <v>2026</v>
      </c>
      <c r="D360" t="s">
        <v>68</v>
      </c>
      <c r="E360" t="s">
        <v>86</v>
      </c>
      <c r="F360" t="s">
        <v>25</v>
      </c>
      <c r="G360" t="s">
        <v>26</v>
      </c>
      <c r="H360" t="s">
        <v>27</v>
      </c>
      <c r="I360" t="s">
        <v>39</v>
      </c>
      <c r="J360" t="s">
        <v>74</v>
      </c>
      <c r="K360" t="s">
        <v>27</v>
      </c>
      <c r="L360" s="3">
        <v>5681</v>
      </c>
      <c r="M360" s="3">
        <v>5781</v>
      </c>
      <c r="N360" t="s">
        <v>30</v>
      </c>
      <c r="O360" t="s">
        <v>42</v>
      </c>
      <c r="P360" t="s">
        <v>32</v>
      </c>
      <c r="Q360" t="s">
        <v>34</v>
      </c>
      <c r="R360" t="s">
        <v>34</v>
      </c>
      <c r="S360" s="3">
        <v>210047</v>
      </c>
      <c r="T360" t="str">
        <f>TEXT(tblTransactions[[#This Row],[Date]],"mmm")</f>
        <v>Feb</v>
      </c>
      <c r="U360" t="str">
        <f>"Q"&amp;ROUNDUP(MONTH(tblTransactions[[#This Row],[Date]])/3,0)</f>
        <v>Q1</v>
      </c>
      <c r="V360">
        <f>MONTH(tblTransactions[[#This Row],[Date]])</f>
        <v>2</v>
      </c>
    </row>
    <row r="361" spans="1:22" x14ac:dyDescent="0.4">
      <c r="A361" t="s">
        <v>435</v>
      </c>
      <c r="B361" s="2">
        <v>46065</v>
      </c>
      <c r="C361">
        <v>2026</v>
      </c>
      <c r="D361" t="s">
        <v>44</v>
      </c>
      <c r="E361" t="s">
        <v>36</v>
      </c>
      <c r="F361" t="s">
        <v>25</v>
      </c>
      <c r="G361" t="s">
        <v>57</v>
      </c>
      <c r="H361" t="s">
        <v>40</v>
      </c>
      <c r="I361" t="s">
        <v>58</v>
      </c>
      <c r="J361" t="s">
        <v>40</v>
      </c>
      <c r="K361" t="s">
        <v>40</v>
      </c>
      <c r="L361" s="3">
        <v>12007</v>
      </c>
      <c r="M361" s="3">
        <v>6781</v>
      </c>
      <c r="N361" t="s">
        <v>30</v>
      </c>
      <c r="O361" t="s">
        <v>31</v>
      </c>
      <c r="P361" t="s">
        <v>32</v>
      </c>
      <c r="Q361" t="s">
        <v>34</v>
      </c>
      <c r="R361" t="s">
        <v>34</v>
      </c>
      <c r="S361" s="3">
        <v>198040</v>
      </c>
      <c r="T361" t="str">
        <f>TEXT(tblTransactions[[#This Row],[Date]],"mmm")</f>
        <v>Feb</v>
      </c>
      <c r="U361" t="str">
        <f>"Q"&amp;ROUNDUP(MONTH(tblTransactions[[#This Row],[Date]])/3,0)</f>
        <v>Q1</v>
      </c>
      <c r="V361">
        <f>MONTH(tblTransactions[[#This Row],[Date]])</f>
        <v>2</v>
      </c>
    </row>
    <row r="362" spans="1:22" x14ac:dyDescent="0.4">
      <c r="A362" t="s">
        <v>436</v>
      </c>
      <c r="B362" s="2">
        <v>46066</v>
      </c>
      <c r="C362">
        <v>2026</v>
      </c>
      <c r="D362" t="s">
        <v>23</v>
      </c>
      <c r="E362" t="s">
        <v>24</v>
      </c>
      <c r="F362" t="s">
        <v>25</v>
      </c>
      <c r="G362" t="s">
        <v>70</v>
      </c>
      <c r="H362" t="s">
        <v>71</v>
      </c>
      <c r="I362" t="s">
        <v>48</v>
      </c>
      <c r="J362" t="s">
        <v>90</v>
      </c>
      <c r="K362" t="s">
        <v>71</v>
      </c>
      <c r="L362" s="3">
        <v>14969</v>
      </c>
      <c r="M362" s="3">
        <v>9572</v>
      </c>
      <c r="N362" t="s">
        <v>54</v>
      </c>
      <c r="O362" t="s">
        <v>50</v>
      </c>
      <c r="P362" t="s">
        <v>32</v>
      </c>
      <c r="Q362" t="s">
        <v>34</v>
      </c>
      <c r="R362" t="s">
        <v>33</v>
      </c>
      <c r="S362" s="3">
        <v>183071</v>
      </c>
      <c r="T362" t="str">
        <f>TEXT(tblTransactions[[#This Row],[Date]],"mmm")</f>
        <v>Feb</v>
      </c>
      <c r="U362" t="str">
        <f>"Q"&amp;ROUNDUP(MONTH(tblTransactions[[#This Row],[Date]])/3,0)</f>
        <v>Q1</v>
      </c>
      <c r="V362">
        <f>MONTH(tblTransactions[[#This Row],[Date]])</f>
        <v>2</v>
      </c>
    </row>
    <row r="363" spans="1:22" x14ac:dyDescent="0.4">
      <c r="A363" t="s">
        <v>437</v>
      </c>
      <c r="B363" s="2">
        <v>46067</v>
      </c>
      <c r="C363">
        <v>2026</v>
      </c>
      <c r="D363" t="s">
        <v>68</v>
      </c>
      <c r="E363" t="s">
        <v>24</v>
      </c>
      <c r="F363" t="s">
        <v>25</v>
      </c>
      <c r="G363" t="s">
        <v>46</v>
      </c>
      <c r="H363" t="s">
        <v>47</v>
      </c>
      <c r="I363" t="s">
        <v>58</v>
      </c>
      <c r="J363" t="s">
        <v>40</v>
      </c>
      <c r="K363" t="s">
        <v>47</v>
      </c>
      <c r="L363" s="3">
        <v>17565</v>
      </c>
      <c r="M363" s="3">
        <v>15087</v>
      </c>
      <c r="N363" t="s">
        <v>54</v>
      </c>
      <c r="O363" t="s">
        <v>50</v>
      </c>
      <c r="P363" t="s">
        <v>32</v>
      </c>
      <c r="Q363" t="s">
        <v>34</v>
      </c>
      <c r="R363" t="s">
        <v>34</v>
      </c>
      <c r="S363" s="3">
        <v>165506</v>
      </c>
      <c r="T363" t="str">
        <f>TEXT(tblTransactions[[#This Row],[Date]],"mmm")</f>
        <v>Feb</v>
      </c>
      <c r="U363" t="str">
        <f>"Q"&amp;ROUNDUP(MONTH(tblTransactions[[#This Row],[Date]])/3,0)</f>
        <v>Q1</v>
      </c>
      <c r="V363">
        <f>MONTH(tblTransactions[[#This Row],[Date]])</f>
        <v>2</v>
      </c>
    </row>
    <row r="364" spans="1:22" x14ac:dyDescent="0.4">
      <c r="A364" t="s">
        <v>438</v>
      </c>
      <c r="B364" s="2">
        <v>46068</v>
      </c>
      <c r="C364">
        <v>2026</v>
      </c>
      <c r="D364" t="s">
        <v>23</v>
      </c>
      <c r="E364" t="s">
        <v>24</v>
      </c>
      <c r="F364" t="s">
        <v>25</v>
      </c>
      <c r="G364" t="s">
        <v>70</v>
      </c>
      <c r="H364" t="s">
        <v>71</v>
      </c>
      <c r="I364" t="s">
        <v>28</v>
      </c>
      <c r="J364" t="s">
        <v>74</v>
      </c>
      <c r="K364" t="s">
        <v>71</v>
      </c>
      <c r="L364" s="3">
        <v>17841</v>
      </c>
      <c r="M364" s="3">
        <v>17002</v>
      </c>
      <c r="N364" t="s">
        <v>54</v>
      </c>
      <c r="O364" t="s">
        <v>50</v>
      </c>
      <c r="P364" t="s">
        <v>32</v>
      </c>
      <c r="Q364" t="s">
        <v>33</v>
      </c>
      <c r="R364" t="s">
        <v>34</v>
      </c>
      <c r="S364" s="3">
        <v>147665</v>
      </c>
      <c r="T364" t="str">
        <f>TEXT(tblTransactions[[#This Row],[Date]],"mmm")</f>
        <v>Feb</v>
      </c>
      <c r="U364" t="str">
        <f>"Q"&amp;ROUNDUP(MONTH(tblTransactions[[#This Row],[Date]])/3,0)</f>
        <v>Q1</v>
      </c>
      <c r="V364">
        <f>MONTH(tblTransactions[[#This Row],[Date]])</f>
        <v>2</v>
      </c>
    </row>
    <row r="365" spans="1:22" x14ac:dyDescent="0.4">
      <c r="A365" t="s">
        <v>439</v>
      </c>
      <c r="B365" s="2">
        <v>46069</v>
      </c>
      <c r="C365">
        <v>2026</v>
      </c>
      <c r="D365" t="s">
        <v>23</v>
      </c>
      <c r="E365" t="s">
        <v>24</v>
      </c>
      <c r="F365" t="s">
        <v>25</v>
      </c>
      <c r="G365" t="s">
        <v>98</v>
      </c>
      <c r="H365" t="s">
        <v>99</v>
      </c>
      <c r="I365" t="s">
        <v>28</v>
      </c>
      <c r="J365" t="s">
        <v>40</v>
      </c>
      <c r="K365" t="s">
        <v>99</v>
      </c>
      <c r="L365" s="3">
        <v>15307</v>
      </c>
      <c r="M365" s="3">
        <v>5084</v>
      </c>
      <c r="N365" t="s">
        <v>54</v>
      </c>
      <c r="O365" t="s">
        <v>42</v>
      </c>
      <c r="P365" t="s">
        <v>32</v>
      </c>
      <c r="Q365" t="s">
        <v>34</v>
      </c>
      <c r="R365" t="s">
        <v>34</v>
      </c>
      <c r="S365" s="3">
        <v>132358</v>
      </c>
      <c r="T365" t="str">
        <f>TEXT(tblTransactions[[#This Row],[Date]],"mmm")</f>
        <v>Feb</v>
      </c>
      <c r="U365" t="str">
        <f>"Q"&amp;ROUNDUP(MONTH(tblTransactions[[#This Row],[Date]])/3,0)</f>
        <v>Q1</v>
      </c>
      <c r="V365">
        <f>MONTH(tblTransactions[[#This Row],[Date]])</f>
        <v>2</v>
      </c>
    </row>
    <row r="366" spans="1:22" x14ac:dyDescent="0.4">
      <c r="A366" t="s">
        <v>440</v>
      </c>
      <c r="B366" s="2">
        <v>46070</v>
      </c>
      <c r="C366">
        <v>2026</v>
      </c>
      <c r="D366" t="s">
        <v>44</v>
      </c>
      <c r="E366" t="s">
        <v>36</v>
      </c>
      <c r="F366" t="s">
        <v>37</v>
      </c>
      <c r="G366" t="s">
        <v>77</v>
      </c>
      <c r="H366" t="s">
        <v>78</v>
      </c>
      <c r="I366" t="s">
        <v>28</v>
      </c>
      <c r="J366" t="s">
        <v>90</v>
      </c>
      <c r="K366" t="s">
        <v>78</v>
      </c>
      <c r="L366" s="3">
        <v>30604</v>
      </c>
      <c r="M366" s="3">
        <v>0</v>
      </c>
      <c r="N366" t="s">
        <v>60</v>
      </c>
      <c r="O366" t="s">
        <v>31</v>
      </c>
      <c r="P366" t="s">
        <v>32</v>
      </c>
      <c r="Q366" t="s">
        <v>34</v>
      </c>
      <c r="R366" t="s">
        <v>34</v>
      </c>
      <c r="S366" s="3">
        <v>162962</v>
      </c>
      <c r="T366" t="str">
        <f>TEXT(tblTransactions[[#This Row],[Date]],"mmm")</f>
        <v>Feb</v>
      </c>
      <c r="U366" t="str">
        <f>"Q"&amp;ROUNDUP(MONTH(tblTransactions[[#This Row],[Date]])/3,0)</f>
        <v>Q1</v>
      </c>
      <c r="V366">
        <f>MONTH(tblTransactions[[#This Row],[Date]])</f>
        <v>2</v>
      </c>
    </row>
    <row r="367" spans="1:22" x14ac:dyDescent="0.4">
      <c r="A367" t="s">
        <v>441</v>
      </c>
      <c r="B367" s="2">
        <v>46072</v>
      </c>
      <c r="C367">
        <v>2026</v>
      </c>
      <c r="D367" t="s">
        <v>23</v>
      </c>
      <c r="E367" t="s">
        <v>86</v>
      </c>
      <c r="F367" t="s">
        <v>25</v>
      </c>
      <c r="G367" t="s">
        <v>104</v>
      </c>
      <c r="H367" t="s">
        <v>105</v>
      </c>
      <c r="I367" t="s">
        <v>28</v>
      </c>
      <c r="J367" t="s">
        <v>29</v>
      </c>
      <c r="K367" t="s">
        <v>105</v>
      </c>
      <c r="L367" s="3">
        <v>1320</v>
      </c>
      <c r="M367" s="3">
        <v>5737</v>
      </c>
      <c r="N367" t="s">
        <v>30</v>
      </c>
      <c r="O367" t="s">
        <v>55</v>
      </c>
      <c r="P367" t="s">
        <v>32</v>
      </c>
      <c r="Q367" t="s">
        <v>34</v>
      </c>
      <c r="R367" t="s">
        <v>34</v>
      </c>
      <c r="S367" s="3">
        <v>161642</v>
      </c>
      <c r="T367" t="str">
        <f>TEXT(tblTransactions[[#This Row],[Date]],"mmm")</f>
        <v>Feb</v>
      </c>
      <c r="U367" t="str">
        <f>"Q"&amp;ROUNDUP(MONTH(tblTransactions[[#This Row],[Date]])/3,0)</f>
        <v>Q1</v>
      </c>
      <c r="V367">
        <f>MONTH(tblTransactions[[#This Row],[Date]])</f>
        <v>2</v>
      </c>
    </row>
    <row r="368" spans="1:22" x14ac:dyDescent="0.4">
      <c r="A368" t="s">
        <v>442</v>
      </c>
      <c r="B368" s="2">
        <v>46074</v>
      </c>
      <c r="C368">
        <v>2026</v>
      </c>
      <c r="D368" t="s">
        <v>68</v>
      </c>
      <c r="E368" t="s">
        <v>36</v>
      </c>
      <c r="F368" t="s">
        <v>37</v>
      </c>
      <c r="G368" t="s">
        <v>38</v>
      </c>
      <c r="H368" t="s">
        <v>38</v>
      </c>
      <c r="I368" t="s">
        <v>48</v>
      </c>
      <c r="J368" t="s">
        <v>65</v>
      </c>
      <c r="K368" t="s">
        <v>38</v>
      </c>
      <c r="L368" s="3">
        <v>22489</v>
      </c>
      <c r="M368" s="3">
        <v>0</v>
      </c>
      <c r="N368" t="s">
        <v>30</v>
      </c>
      <c r="O368" t="s">
        <v>42</v>
      </c>
      <c r="P368" t="s">
        <v>32</v>
      </c>
      <c r="Q368" t="s">
        <v>34</v>
      </c>
      <c r="R368" t="s">
        <v>34</v>
      </c>
      <c r="S368" s="3">
        <v>184131</v>
      </c>
      <c r="T368" t="str">
        <f>TEXT(tblTransactions[[#This Row],[Date]],"mmm")</f>
        <v>Feb</v>
      </c>
      <c r="U368" t="str">
        <f>"Q"&amp;ROUNDUP(MONTH(tblTransactions[[#This Row],[Date]])/3,0)</f>
        <v>Q1</v>
      </c>
      <c r="V368">
        <f>MONTH(tblTransactions[[#This Row],[Date]])</f>
        <v>2</v>
      </c>
    </row>
    <row r="369" spans="1:22" x14ac:dyDescent="0.4">
      <c r="A369" t="s">
        <v>443</v>
      </c>
      <c r="B369" s="2">
        <v>46075</v>
      </c>
      <c r="C369">
        <v>2026</v>
      </c>
      <c r="D369" t="s">
        <v>44</v>
      </c>
      <c r="E369" t="s">
        <v>86</v>
      </c>
      <c r="F369" t="s">
        <v>25</v>
      </c>
      <c r="G369" t="s">
        <v>73</v>
      </c>
      <c r="H369" t="s">
        <v>74</v>
      </c>
      <c r="I369" t="s">
        <v>53</v>
      </c>
      <c r="J369" t="s">
        <v>59</v>
      </c>
      <c r="K369" t="s">
        <v>74</v>
      </c>
      <c r="L369" s="3">
        <v>16677</v>
      </c>
      <c r="M369" s="3">
        <v>7549</v>
      </c>
      <c r="N369" t="s">
        <v>41</v>
      </c>
      <c r="O369" t="s">
        <v>42</v>
      </c>
      <c r="P369" t="s">
        <v>32</v>
      </c>
      <c r="Q369" t="s">
        <v>33</v>
      </c>
      <c r="R369" t="s">
        <v>34</v>
      </c>
      <c r="S369" s="3">
        <v>167454</v>
      </c>
      <c r="T369" t="str">
        <f>TEXT(tblTransactions[[#This Row],[Date]],"mmm")</f>
        <v>Feb</v>
      </c>
      <c r="U369" t="str">
        <f>"Q"&amp;ROUNDUP(MONTH(tblTransactions[[#This Row],[Date]])/3,0)</f>
        <v>Q1</v>
      </c>
      <c r="V369">
        <f>MONTH(tblTransactions[[#This Row],[Date]])</f>
        <v>2</v>
      </c>
    </row>
    <row r="370" spans="1:22" x14ac:dyDescent="0.4">
      <c r="A370" t="s">
        <v>444</v>
      </c>
      <c r="B370" s="2">
        <v>46076</v>
      </c>
      <c r="C370">
        <v>2026</v>
      </c>
      <c r="D370" t="s">
        <v>68</v>
      </c>
      <c r="E370" t="s">
        <v>45</v>
      </c>
      <c r="F370" t="s">
        <v>25</v>
      </c>
      <c r="G370" t="s">
        <v>46</v>
      </c>
      <c r="H370" t="s">
        <v>47</v>
      </c>
      <c r="I370" t="s">
        <v>39</v>
      </c>
      <c r="J370" t="s">
        <v>65</v>
      </c>
      <c r="K370" t="s">
        <v>47</v>
      </c>
      <c r="L370" s="3">
        <v>4616</v>
      </c>
      <c r="M370" s="3">
        <v>11650</v>
      </c>
      <c r="N370" t="s">
        <v>60</v>
      </c>
      <c r="O370" t="s">
        <v>55</v>
      </c>
      <c r="P370" t="s">
        <v>32</v>
      </c>
      <c r="Q370" t="s">
        <v>34</v>
      </c>
      <c r="R370" t="s">
        <v>34</v>
      </c>
      <c r="S370" s="3">
        <v>162838</v>
      </c>
      <c r="T370" t="str">
        <f>TEXT(tblTransactions[[#This Row],[Date]],"mmm")</f>
        <v>Feb</v>
      </c>
      <c r="U370" t="str">
        <f>"Q"&amp;ROUNDUP(MONTH(tblTransactions[[#This Row],[Date]])/3,0)</f>
        <v>Q1</v>
      </c>
      <c r="V370">
        <f>MONTH(tblTransactions[[#This Row],[Date]])</f>
        <v>2</v>
      </c>
    </row>
    <row r="371" spans="1:22" x14ac:dyDescent="0.4">
      <c r="A371" t="s">
        <v>445</v>
      </c>
      <c r="B371" s="2">
        <v>46078</v>
      </c>
      <c r="C371">
        <v>2026</v>
      </c>
      <c r="D371" t="s">
        <v>44</v>
      </c>
      <c r="E371" t="s">
        <v>36</v>
      </c>
      <c r="F371" t="s">
        <v>25</v>
      </c>
      <c r="G371" t="s">
        <v>104</v>
      </c>
      <c r="H371" t="s">
        <v>105</v>
      </c>
      <c r="I371" t="s">
        <v>39</v>
      </c>
      <c r="J371" t="s">
        <v>40</v>
      </c>
      <c r="K371" t="s">
        <v>105</v>
      </c>
      <c r="L371" s="3">
        <v>3929</v>
      </c>
      <c r="M371" s="3">
        <v>8359</v>
      </c>
      <c r="N371" t="s">
        <v>60</v>
      </c>
      <c r="O371" t="s">
        <v>31</v>
      </c>
      <c r="P371" t="s">
        <v>32</v>
      </c>
      <c r="Q371" t="s">
        <v>33</v>
      </c>
      <c r="R371" t="s">
        <v>34</v>
      </c>
      <c r="S371" s="3">
        <v>158909</v>
      </c>
      <c r="T371" t="str">
        <f>TEXT(tblTransactions[[#This Row],[Date]],"mmm")</f>
        <v>Feb</v>
      </c>
      <c r="U371" t="str">
        <f>"Q"&amp;ROUNDUP(MONTH(tblTransactions[[#This Row],[Date]])/3,0)</f>
        <v>Q1</v>
      </c>
      <c r="V371">
        <f>MONTH(tblTransactions[[#This Row],[Date]])</f>
        <v>2</v>
      </c>
    </row>
    <row r="372" spans="1:22" x14ac:dyDescent="0.4">
      <c r="A372" t="s">
        <v>446</v>
      </c>
      <c r="B372" s="2">
        <v>46079</v>
      </c>
      <c r="C372">
        <v>2026</v>
      </c>
      <c r="D372" t="s">
        <v>23</v>
      </c>
      <c r="E372" t="s">
        <v>36</v>
      </c>
      <c r="F372" t="s">
        <v>25</v>
      </c>
      <c r="G372" t="s">
        <v>57</v>
      </c>
      <c r="H372" t="s">
        <v>40</v>
      </c>
      <c r="I372" t="s">
        <v>39</v>
      </c>
      <c r="J372" t="s">
        <v>29</v>
      </c>
      <c r="K372" t="s">
        <v>40</v>
      </c>
      <c r="L372" s="3">
        <v>8006</v>
      </c>
      <c r="M372" s="3">
        <v>1768</v>
      </c>
      <c r="N372" t="s">
        <v>60</v>
      </c>
      <c r="O372" t="s">
        <v>42</v>
      </c>
      <c r="P372" t="s">
        <v>32</v>
      </c>
      <c r="Q372" t="s">
        <v>33</v>
      </c>
      <c r="R372" t="s">
        <v>34</v>
      </c>
      <c r="S372" s="3">
        <v>150903</v>
      </c>
      <c r="T372" t="str">
        <f>TEXT(tblTransactions[[#This Row],[Date]],"mmm")</f>
        <v>Feb</v>
      </c>
      <c r="U372" t="str">
        <f>"Q"&amp;ROUNDUP(MONTH(tblTransactions[[#This Row],[Date]])/3,0)</f>
        <v>Q1</v>
      </c>
      <c r="V372">
        <f>MONTH(tblTransactions[[#This Row],[Date]])</f>
        <v>2</v>
      </c>
    </row>
    <row r="373" spans="1:22" x14ac:dyDescent="0.4">
      <c r="A373" t="s">
        <v>447</v>
      </c>
      <c r="B373" s="2">
        <v>46080</v>
      </c>
      <c r="C373">
        <v>2026</v>
      </c>
      <c r="D373" t="s">
        <v>68</v>
      </c>
      <c r="E373" t="s">
        <v>36</v>
      </c>
      <c r="F373" t="s">
        <v>25</v>
      </c>
      <c r="G373" t="s">
        <v>63</v>
      </c>
      <c r="H373" t="s">
        <v>64</v>
      </c>
      <c r="I373" t="s">
        <v>58</v>
      </c>
      <c r="J373" t="s">
        <v>49</v>
      </c>
      <c r="K373" t="s">
        <v>64</v>
      </c>
      <c r="L373" s="3">
        <v>957</v>
      </c>
      <c r="M373" s="3">
        <v>10161</v>
      </c>
      <c r="N373" t="s">
        <v>60</v>
      </c>
      <c r="O373" t="s">
        <v>31</v>
      </c>
      <c r="P373" t="s">
        <v>32</v>
      </c>
      <c r="Q373" t="s">
        <v>34</v>
      </c>
      <c r="R373" t="s">
        <v>34</v>
      </c>
      <c r="S373" s="3">
        <v>149946</v>
      </c>
      <c r="T373" t="str">
        <f>TEXT(tblTransactions[[#This Row],[Date]],"mmm")</f>
        <v>Feb</v>
      </c>
      <c r="U373" t="str">
        <f>"Q"&amp;ROUNDUP(MONTH(tblTransactions[[#This Row],[Date]])/3,0)</f>
        <v>Q1</v>
      </c>
      <c r="V373">
        <f>MONTH(tblTransactions[[#This Row],[Date]])</f>
        <v>2</v>
      </c>
    </row>
    <row r="374" spans="1:22" x14ac:dyDescent="0.4">
      <c r="A374" t="s">
        <v>448</v>
      </c>
      <c r="B374" s="2">
        <v>46081</v>
      </c>
      <c r="C374">
        <v>2026</v>
      </c>
      <c r="D374" t="s">
        <v>68</v>
      </c>
      <c r="E374" t="s">
        <v>45</v>
      </c>
      <c r="F374" t="s">
        <v>25</v>
      </c>
      <c r="G374" t="s">
        <v>57</v>
      </c>
      <c r="H374" t="s">
        <v>40</v>
      </c>
      <c r="I374" t="s">
        <v>58</v>
      </c>
      <c r="J374" t="s">
        <v>90</v>
      </c>
      <c r="K374" t="s">
        <v>40</v>
      </c>
      <c r="L374" s="3">
        <v>9619</v>
      </c>
      <c r="M374" s="3">
        <v>17936</v>
      </c>
      <c r="N374" t="s">
        <v>41</v>
      </c>
      <c r="O374" t="s">
        <v>42</v>
      </c>
      <c r="P374" t="s">
        <v>32</v>
      </c>
      <c r="Q374" t="s">
        <v>33</v>
      </c>
      <c r="R374" t="s">
        <v>34</v>
      </c>
      <c r="S374" s="3">
        <v>140327</v>
      </c>
      <c r="T374" t="str">
        <f>TEXT(tblTransactions[[#This Row],[Date]],"mmm")</f>
        <v>Feb</v>
      </c>
      <c r="U374" t="str">
        <f>"Q"&amp;ROUNDUP(MONTH(tblTransactions[[#This Row],[Date]])/3,0)</f>
        <v>Q1</v>
      </c>
      <c r="V374">
        <f>MONTH(tblTransactions[[#This Row],[Date]])</f>
        <v>2</v>
      </c>
    </row>
    <row r="375" spans="1:22" x14ac:dyDescent="0.4">
      <c r="A375" t="s">
        <v>449</v>
      </c>
      <c r="B375" s="2">
        <v>46082</v>
      </c>
      <c r="C375">
        <v>2026</v>
      </c>
      <c r="D375" t="s">
        <v>44</v>
      </c>
      <c r="E375" t="s">
        <v>86</v>
      </c>
      <c r="F375" t="s">
        <v>37</v>
      </c>
      <c r="G375" t="s">
        <v>77</v>
      </c>
      <c r="H375" t="s">
        <v>78</v>
      </c>
      <c r="I375" t="s">
        <v>44</v>
      </c>
      <c r="J375" t="s">
        <v>84</v>
      </c>
      <c r="K375" t="s">
        <v>78</v>
      </c>
      <c r="L375" s="3">
        <v>46294</v>
      </c>
      <c r="M375" s="3">
        <v>0</v>
      </c>
      <c r="N375" t="s">
        <v>54</v>
      </c>
      <c r="O375" t="s">
        <v>50</v>
      </c>
      <c r="P375" t="s">
        <v>32</v>
      </c>
      <c r="Q375" t="s">
        <v>34</v>
      </c>
      <c r="R375" t="s">
        <v>34</v>
      </c>
      <c r="S375" s="3">
        <v>186621</v>
      </c>
      <c r="T375" t="str">
        <f>TEXT(tblTransactions[[#This Row],[Date]],"mmm")</f>
        <v>Mar</v>
      </c>
      <c r="U375" t="str">
        <f>"Q"&amp;ROUNDUP(MONTH(tblTransactions[[#This Row],[Date]])/3,0)</f>
        <v>Q1</v>
      </c>
      <c r="V375">
        <f>MONTH(tblTransactions[[#This Row],[Date]])</f>
        <v>3</v>
      </c>
    </row>
    <row r="376" spans="1:22" x14ac:dyDescent="0.4">
      <c r="A376" t="s">
        <v>450</v>
      </c>
      <c r="B376" s="2">
        <v>46083</v>
      </c>
      <c r="C376">
        <v>2026</v>
      </c>
      <c r="D376" t="s">
        <v>23</v>
      </c>
      <c r="E376" t="s">
        <v>86</v>
      </c>
      <c r="F376" t="s">
        <v>25</v>
      </c>
      <c r="G376" t="s">
        <v>70</v>
      </c>
      <c r="H376" t="s">
        <v>71</v>
      </c>
      <c r="I376" t="s">
        <v>28</v>
      </c>
      <c r="J376" t="s">
        <v>59</v>
      </c>
      <c r="K376" t="s">
        <v>71</v>
      </c>
      <c r="L376" s="3">
        <v>12428</v>
      </c>
      <c r="M376" s="3">
        <v>9278</v>
      </c>
      <c r="N376" t="s">
        <v>60</v>
      </c>
      <c r="O376" t="s">
        <v>31</v>
      </c>
      <c r="P376" t="s">
        <v>32</v>
      </c>
      <c r="Q376" t="s">
        <v>34</v>
      </c>
      <c r="R376" t="s">
        <v>34</v>
      </c>
      <c r="S376" s="3">
        <v>174193</v>
      </c>
      <c r="T376" t="str">
        <f>TEXT(tblTransactions[[#This Row],[Date]],"mmm")</f>
        <v>Mar</v>
      </c>
      <c r="U376" t="str">
        <f>"Q"&amp;ROUNDUP(MONTH(tblTransactions[[#This Row],[Date]])/3,0)</f>
        <v>Q1</v>
      </c>
      <c r="V376">
        <f>MONTH(tblTransactions[[#This Row],[Date]])</f>
        <v>3</v>
      </c>
    </row>
    <row r="377" spans="1:22" x14ac:dyDescent="0.4">
      <c r="A377" t="s">
        <v>451</v>
      </c>
      <c r="B377" s="2">
        <v>46084</v>
      </c>
      <c r="C377">
        <v>2026</v>
      </c>
      <c r="D377" t="s">
        <v>23</v>
      </c>
      <c r="E377" t="s">
        <v>45</v>
      </c>
      <c r="F377" t="s">
        <v>25</v>
      </c>
      <c r="G377" t="s">
        <v>57</v>
      </c>
      <c r="H377" t="s">
        <v>40</v>
      </c>
      <c r="I377" t="s">
        <v>28</v>
      </c>
      <c r="J377" t="s">
        <v>84</v>
      </c>
      <c r="K377" t="s">
        <v>40</v>
      </c>
      <c r="L377" s="3">
        <v>6021</v>
      </c>
      <c r="M377" s="3">
        <v>18101</v>
      </c>
      <c r="N377" t="s">
        <v>41</v>
      </c>
      <c r="O377" t="s">
        <v>31</v>
      </c>
      <c r="P377" t="s">
        <v>32</v>
      </c>
      <c r="Q377" t="s">
        <v>33</v>
      </c>
      <c r="R377" t="s">
        <v>34</v>
      </c>
      <c r="S377" s="3">
        <v>168172</v>
      </c>
      <c r="T377" t="str">
        <f>TEXT(tblTransactions[[#This Row],[Date]],"mmm")</f>
        <v>Mar</v>
      </c>
      <c r="U377" t="str">
        <f>"Q"&amp;ROUNDUP(MONTH(tblTransactions[[#This Row],[Date]])/3,0)</f>
        <v>Q1</v>
      </c>
      <c r="V377">
        <f>MONTH(tblTransactions[[#This Row],[Date]])</f>
        <v>3</v>
      </c>
    </row>
    <row r="378" spans="1:22" x14ac:dyDescent="0.4">
      <c r="A378" t="s">
        <v>452</v>
      </c>
      <c r="B378" s="2">
        <v>46085</v>
      </c>
      <c r="C378">
        <v>2026</v>
      </c>
      <c r="D378" t="s">
        <v>68</v>
      </c>
      <c r="E378" t="s">
        <v>45</v>
      </c>
      <c r="F378" t="s">
        <v>25</v>
      </c>
      <c r="G378" t="s">
        <v>98</v>
      </c>
      <c r="H378" t="s">
        <v>99</v>
      </c>
      <c r="I378" t="s">
        <v>53</v>
      </c>
      <c r="J378" t="s">
        <v>59</v>
      </c>
      <c r="K378" t="s">
        <v>99</v>
      </c>
      <c r="L378" s="3">
        <v>11231</v>
      </c>
      <c r="M378" s="3">
        <v>6106</v>
      </c>
      <c r="N378" t="s">
        <v>54</v>
      </c>
      <c r="O378" t="s">
        <v>31</v>
      </c>
      <c r="P378" t="s">
        <v>32</v>
      </c>
      <c r="Q378" t="s">
        <v>34</v>
      </c>
      <c r="R378" t="s">
        <v>34</v>
      </c>
      <c r="S378" s="3">
        <v>156941</v>
      </c>
      <c r="T378" t="str">
        <f>TEXT(tblTransactions[[#This Row],[Date]],"mmm")</f>
        <v>Mar</v>
      </c>
      <c r="U378" t="str">
        <f>"Q"&amp;ROUNDUP(MONTH(tblTransactions[[#This Row],[Date]])/3,0)</f>
        <v>Q1</v>
      </c>
      <c r="V378">
        <f>MONTH(tblTransactions[[#This Row],[Date]])</f>
        <v>3</v>
      </c>
    </row>
    <row r="379" spans="1:22" x14ac:dyDescent="0.4">
      <c r="A379" t="s">
        <v>453</v>
      </c>
      <c r="B379" s="2">
        <v>46086</v>
      </c>
      <c r="C379">
        <v>2026</v>
      </c>
      <c r="D379" t="s">
        <v>23</v>
      </c>
      <c r="E379" t="s">
        <v>24</v>
      </c>
      <c r="F379" t="s">
        <v>25</v>
      </c>
      <c r="G379" t="s">
        <v>104</v>
      </c>
      <c r="H379" t="s">
        <v>105</v>
      </c>
      <c r="I379" t="s">
        <v>58</v>
      </c>
      <c r="J379" t="s">
        <v>84</v>
      </c>
      <c r="K379" t="s">
        <v>105</v>
      </c>
      <c r="L379" s="3">
        <v>2053</v>
      </c>
      <c r="M379" s="3">
        <v>2050</v>
      </c>
      <c r="N379" t="s">
        <v>54</v>
      </c>
      <c r="O379" t="s">
        <v>42</v>
      </c>
      <c r="P379" t="s">
        <v>32</v>
      </c>
      <c r="Q379" t="s">
        <v>34</v>
      </c>
      <c r="R379" t="s">
        <v>34</v>
      </c>
      <c r="S379" s="3">
        <v>154888</v>
      </c>
      <c r="T379" t="str">
        <f>TEXT(tblTransactions[[#This Row],[Date]],"mmm")</f>
        <v>Mar</v>
      </c>
      <c r="U379" t="str">
        <f>"Q"&amp;ROUNDUP(MONTH(tblTransactions[[#This Row],[Date]])/3,0)</f>
        <v>Q1</v>
      </c>
      <c r="V379">
        <f>MONTH(tblTransactions[[#This Row],[Date]])</f>
        <v>3</v>
      </c>
    </row>
    <row r="380" spans="1:22" x14ac:dyDescent="0.4">
      <c r="A380" t="s">
        <v>454</v>
      </c>
      <c r="B380" s="2">
        <v>46087</v>
      </c>
      <c r="C380">
        <v>2026</v>
      </c>
      <c r="D380" t="s">
        <v>44</v>
      </c>
      <c r="E380" t="s">
        <v>36</v>
      </c>
      <c r="F380" t="s">
        <v>25</v>
      </c>
      <c r="G380" t="s">
        <v>46</v>
      </c>
      <c r="H380" t="s">
        <v>47</v>
      </c>
      <c r="I380" t="s">
        <v>53</v>
      </c>
      <c r="J380" t="s">
        <v>49</v>
      </c>
      <c r="K380" t="s">
        <v>47</v>
      </c>
      <c r="L380" s="3">
        <v>8594</v>
      </c>
      <c r="M380" s="3">
        <v>5182</v>
      </c>
      <c r="N380" t="s">
        <v>30</v>
      </c>
      <c r="O380" t="s">
        <v>31</v>
      </c>
      <c r="P380" t="s">
        <v>32</v>
      </c>
      <c r="Q380" t="s">
        <v>34</v>
      </c>
      <c r="R380" t="s">
        <v>33</v>
      </c>
      <c r="S380" s="3">
        <v>146294</v>
      </c>
      <c r="T380" t="str">
        <f>TEXT(tblTransactions[[#This Row],[Date]],"mmm")</f>
        <v>Mar</v>
      </c>
      <c r="U380" t="str">
        <f>"Q"&amp;ROUNDUP(MONTH(tblTransactions[[#This Row],[Date]])/3,0)</f>
        <v>Q1</v>
      </c>
      <c r="V380">
        <f>MONTH(tblTransactions[[#This Row],[Date]])</f>
        <v>3</v>
      </c>
    </row>
    <row r="381" spans="1:22" x14ac:dyDescent="0.4">
      <c r="A381" t="s">
        <v>455</v>
      </c>
      <c r="B381" s="2">
        <v>46089</v>
      </c>
      <c r="C381">
        <v>2026</v>
      </c>
      <c r="D381" t="s">
        <v>44</v>
      </c>
      <c r="E381" t="s">
        <v>86</v>
      </c>
      <c r="F381" t="s">
        <v>37</v>
      </c>
      <c r="G381" t="s">
        <v>77</v>
      </c>
      <c r="H381" t="s">
        <v>78</v>
      </c>
      <c r="I381" t="s">
        <v>53</v>
      </c>
      <c r="J381" t="s">
        <v>74</v>
      </c>
      <c r="K381" t="s">
        <v>78</v>
      </c>
      <c r="L381" s="3">
        <v>75377</v>
      </c>
      <c r="M381" s="3">
        <v>0</v>
      </c>
      <c r="N381" t="s">
        <v>60</v>
      </c>
      <c r="O381" t="s">
        <v>50</v>
      </c>
      <c r="P381" t="s">
        <v>32</v>
      </c>
      <c r="Q381" t="s">
        <v>34</v>
      </c>
      <c r="R381" t="s">
        <v>33</v>
      </c>
      <c r="S381" s="3">
        <v>221671</v>
      </c>
      <c r="T381" t="str">
        <f>TEXT(tblTransactions[[#This Row],[Date]],"mmm")</f>
        <v>Mar</v>
      </c>
      <c r="U381" t="str">
        <f>"Q"&amp;ROUNDUP(MONTH(tblTransactions[[#This Row],[Date]])/3,0)</f>
        <v>Q1</v>
      </c>
      <c r="V381">
        <f>MONTH(tblTransactions[[#This Row],[Date]])</f>
        <v>3</v>
      </c>
    </row>
    <row r="382" spans="1:22" x14ac:dyDescent="0.4">
      <c r="A382" t="s">
        <v>456</v>
      </c>
      <c r="B382" s="2">
        <v>46090</v>
      </c>
      <c r="C382">
        <v>2026</v>
      </c>
      <c r="D382" t="s">
        <v>23</v>
      </c>
      <c r="E382" t="s">
        <v>45</v>
      </c>
      <c r="F382" t="s">
        <v>25</v>
      </c>
      <c r="G382" t="s">
        <v>73</v>
      </c>
      <c r="H382" t="s">
        <v>74</v>
      </c>
      <c r="I382" t="s">
        <v>58</v>
      </c>
      <c r="J382" t="s">
        <v>90</v>
      </c>
      <c r="K382" t="s">
        <v>74</v>
      </c>
      <c r="L382" s="3">
        <v>1864</v>
      </c>
      <c r="M382" s="3">
        <v>15648</v>
      </c>
      <c r="N382" t="s">
        <v>41</v>
      </c>
      <c r="O382" t="s">
        <v>50</v>
      </c>
      <c r="P382" t="s">
        <v>32</v>
      </c>
      <c r="Q382" t="s">
        <v>34</v>
      </c>
      <c r="R382" t="s">
        <v>34</v>
      </c>
      <c r="S382" s="3">
        <v>219807</v>
      </c>
      <c r="T382" t="str">
        <f>TEXT(tblTransactions[[#This Row],[Date]],"mmm")</f>
        <v>Mar</v>
      </c>
      <c r="U382" t="str">
        <f>"Q"&amp;ROUNDUP(MONTH(tblTransactions[[#This Row],[Date]])/3,0)</f>
        <v>Q1</v>
      </c>
      <c r="V382">
        <f>MONTH(tblTransactions[[#This Row],[Date]])</f>
        <v>3</v>
      </c>
    </row>
    <row r="383" spans="1:22" x14ac:dyDescent="0.4">
      <c r="A383" t="s">
        <v>457</v>
      </c>
      <c r="B383" s="2">
        <v>46091</v>
      </c>
      <c r="C383">
        <v>2026</v>
      </c>
      <c r="D383" t="s">
        <v>68</v>
      </c>
      <c r="E383" t="s">
        <v>45</v>
      </c>
      <c r="F383" t="s">
        <v>25</v>
      </c>
      <c r="G383" t="s">
        <v>70</v>
      </c>
      <c r="H383" t="s">
        <v>71</v>
      </c>
      <c r="I383" t="s">
        <v>53</v>
      </c>
      <c r="J383" t="s">
        <v>59</v>
      </c>
      <c r="K383" t="s">
        <v>71</v>
      </c>
      <c r="L383" s="3">
        <v>14569</v>
      </c>
      <c r="M383" s="3">
        <v>2639</v>
      </c>
      <c r="N383" t="s">
        <v>60</v>
      </c>
      <c r="O383" t="s">
        <v>55</v>
      </c>
      <c r="P383" t="s">
        <v>32</v>
      </c>
      <c r="Q383" t="s">
        <v>33</v>
      </c>
      <c r="R383" t="s">
        <v>34</v>
      </c>
      <c r="S383" s="3">
        <v>205238</v>
      </c>
      <c r="T383" t="str">
        <f>TEXT(tblTransactions[[#This Row],[Date]],"mmm")</f>
        <v>Mar</v>
      </c>
      <c r="U383" t="str">
        <f>"Q"&amp;ROUNDUP(MONTH(tblTransactions[[#This Row],[Date]])/3,0)</f>
        <v>Q1</v>
      </c>
      <c r="V383">
        <f>MONTH(tblTransactions[[#This Row],[Date]])</f>
        <v>3</v>
      </c>
    </row>
    <row r="384" spans="1:22" x14ac:dyDescent="0.4">
      <c r="A384" t="s">
        <v>458</v>
      </c>
      <c r="B384" s="2">
        <v>46092</v>
      </c>
      <c r="C384">
        <v>2026</v>
      </c>
      <c r="D384" t="s">
        <v>23</v>
      </c>
      <c r="E384" t="s">
        <v>36</v>
      </c>
      <c r="F384" t="s">
        <v>37</v>
      </c>
      <c r="G384" t="s">
        <v>77</v>
      </c>
      <c r="H384" t="s">
        <v>78</v>
      </c>
      <c r="I384" t="s">
        <v>44</v>
      </c>
      <c r="J384" t="s">
        <v>74</v>
      </c>
      <c r="K384" t="s">
        <v>78</v>
      </c>
      <c r="L384" s="3">
        <v>39863</v>
      </c>
      <c r="M384" s="3">
        <v>0</v>
      </c>
      <c r="N384" t="s">
        <v>60</v>
      </c>
      <c r="O384" t="s">
        <v>50</v>
      </c>
      <c r="P384" t="s">
        <v>32</v>
      </c>
      <c r="Q384" t="s">
        <v>34</v>
      </c>
      <c r="R384" t="s">
        <v>34</v>
      </c>
      <c r="S384" s="3">
        <v>245101</v>
      </c>
      <c r="T384" t="str">
        <f>TEXT(tblTransactions[[#This Row],[Date]],"mmm")</f>
        <v>Mar</v>
      </c>
      <c r="U384" t="str">
        <f>"Q"&amp;ROUNDUP(MONTH(tblTransactions[[#This Row],[Date]])/3,0)</f>
        <v>Q1</v>
      </c>
      <c r="V384">
        <f>MONTH(tblTransactions[[#This Row],[Date]])</f>
        <v>3</v>
      </c>
    </row>
    <row r="385" spans="1:22" x14ac:dyDescent="0.4">
      <c r="A385" t="s">
        <v>459</v>
      </c>
      <c r="B385" s="2">
        <v>46093</v>
      </c>
      <c r="C385">
        <v>2026</v>
      </c>
      <c r="D385" t="s">
        <v>68</v>
      </c>
      <c r="E385" t="s">
        <v>24</v>
      </c>
      <c r="F385" t="s">
        <v>37</v>
      </c>
      <c r="G385" t="s">
        <v>77</v>
      </c>
      <c r="H385" t="s">
        <v>78</v>
      </c>
      <c r="I385" t="s">
        <v>39</v>
      </c>
      <c r="J385" t="s">
        <v>49</v>
      </c>
      <c r="K385" t="s">
        <v>78</v>
      </c>
      <c r="L385" s="3">
        <v>67639</v>
      </c>
      <c r="M385" s="3">
        <v>0</v>
      </c>
      <c r="N385" t="s">
        <v>60</v>
      </c>
      <c r="O385" t="s">
        <v>31</v>
      </c>
      <c r="P385" t="s">
        <v>32</v>
      </c>
      <c r="Q385" t="s">
        <v>33</v>
      </c>
      <c r="R385" t="s">
        <v>34</v>
      </c>
      <c r="S385" s="3">
        <v>312740</v>
      </c>
      <c r="T385" t="str">
        <f>TEXT(tblTransactions[[#This Row],[Date]],"mmm")</f>
        <v>Mar</v>
      </c>
      <c r="U385" t="str">
        <f>"Q"&amp;ROUNDUP(MONTH(tblTransactions[[#This Row],[Date]])/3,0)</f>
        <v>Q1</v>
      </c>
      <c r="V385">
        <f>MONTH(tblTransactions[[#This Row],[Date]])</f>
        <v>3</v>
      </c>
    </row>
    <row r="386" spans="1:22" x14ac:dyDescent="0.4">
      <c r="A386" t="s">
        <v>460</v>
      </c>
      <c r="B386" s="2">
        <v>46094</v>
      </c>
      <c r="C386">
        <v>2026</v>
      </c>
      <c r="D386" t="s">
        <v>23</v>
      </c>
      <c r="E386" t="s">
        <v>36</v>
      </c>
      <c r="F386" t="s">
        <v>37</v>
      </c>
      <c r="G386" t="s">
        <v>93</v>
      </c>
      <c r="H386" t="s">
        <v>94</v>
      </c>
      <c r="I386" t="s">
        <v>48</v>
      </c>
      <c r="J386" t="s">
        <v>65</v>
      </c>
      <c r="K386" t="s">
        <v>94</v>
      </c>
      <c r="L386" s="3">
        <v>68824</v>
      </c>
      <c r="M386" s="3">
        <v>0</v>
      </c>
      <c r="N386" t="s">
        <v>30</v>
      </c>
      <c r="O386" t="s">
        <v>55</v>
      </c>
      <c r="P386" t="s">
        <v>32</v>
      </c>
      <c r="Q386" t="s">
        <v>34</v>
      </c>
      <c r="R386" t="s">
        <v>34</v>
      </c>
      <c r="S386" s="3">
        <v>381564</v>
      </c>
      <c r="T386" t="str">
        <f>TEXT(tblTransactions[[#This Row],[Date]],"mmm")</f>
        <v>Mar</v>
      </c>
      <c r="U386" t="str">
        <f>"Q"&amp;ROUNDUP(MONTH(tblTransactions[[#This Row],[Date]])/3,0)</f>
        <v>Q1</v>
      </c>
      <c r="V386">
        <f>MONTH(tblTransactions[[#This Row],[Date]])</f>
        <v>3</v>
      </c>
    </row>
    <row r="387" spans="1:22" x14ac:dyDescent="0.4">
      <c r="A387" t="s">
        <v>461</v>
      </c>
      <c r="B387" s="2">
        <v>46095</v>
      </c>
      <c r="C387">
        <v>2026</v>
      </c>
      <c r="D387" t="s">
        <v>44</v>
      </c>
      <c r="E387" t="s">
        <v>45</v>
      </c>
      <c r="F387" t="s">
        <v>25</v>
      </c>
      <c r="G387" t="s">
        <v>70</v>
      </c>
      <c r="H387" t="s">
        <v>71</v>
      </c>
      <c r="I387" t="s">
        <v>28</v>
      </c>
      <c r="J387" t="s">
        <v>111</v>
      </c>
      <c r="K387" t="s">
        <v>71</v>
      </c>
      <c r="L387" s="3">
        <v>399</v>
      </c>
      <c r="M387" s="3">
        <v>12227</v>
      </c>
      <c r="N387" t="s">
        <v>41</v>
      </c>
      <c r="O387" t="s">
        <v>50</v>
      </c>
      <c r="P387" t="s">
        <v>32</v>
      </c>
      <c r="Q387" t="s">
        <v>34</v>
      </c>
      <c r="R387" t="s">
        <v>34</v>
      </c>
      <c r="S387" s="3">
        <v>381165</v>
      </c>
      <c r="T387" t="str">
        <f>TEXT(tblTransactions[[#This Row],[Date]],"mmm")</f>
        <v>Mar</v>
      </c>
      <c r="U387" t="str">
        <f>"Q"&amp;ROUNDUP(MONTH(tblTransactions[[#This Row],[Date]])/3,0)</f>
        <v>Q1</v>
      </c>
      <c r="V387">
        <f>MONTH(tblTransactions[[#This Row],[Date]])</f>
        <v>3</v>
      </c>
    </row>
    <row r="388" spans="1:22" x14ac:dyDescent="0.4">
      <c r="A388" t="s">
        <v>462</v>
      </c>
      <c r="B388" s="2">
        <v>46096</v>
      </c>
      <c r="C388">
        <v>2026</v>
      </c>
      <c r="D388" t="s">
        <v>68</v>
      </c>
      <c r="E388" t="s">
        <v>86</v>
      </c>
      <c r="F388" t="s">
        <v>25</v>
      </c>
      <c r="G388" t="s">
        <v>46</v>
      </c>
      <c r="H388" t="s">
        <v>47</v>
      </c>
      <c r="I388" t="s">
        <v>39</v>
      </c>
      <c r="J388" t="s">
        <v>29</v>
      </c>
      <c r="K388" t="s">
        <v>47</v>
      </c>
      <c r="L388" s="3">
        <v>2672</v>
      </c>
      <c r="M388" s="3">
        <v>19972</v>
      </c>
      <c r="N388" t="s">
        <v>30</v>
      </c>
      <c r="O388" t="s">
        <v>55</v>
      </c>
      <c r="P388" t="s">
        <v>32</v>
      </c>
      <c r="Q388" t="s">
        <v>33</v>
      </c>
      <c r="R388" t="s">
        <v>33</v>
      </c>
      <c r="S388" s="3">
        <v>378493</v>
      </c>
      <c r="T388" t="str">
        <f>TEXT(tblTransactions[[#This Row],[Date]],"mmm")</f>
        <v>Mar</v>
      </c>
      <c r="U388" t="str">
        <f>"Q"&amp;ROUNDUP(MONTH(tblTransactions[[#This Row],[Date]])/3,0)</f>
        <v>Q1</v>
      </c>
      <c r="V388">
        <f>MONTH(tblTransactions[[#This Row],[Date]])</f>
        <v>3</v>
      </c>
    </row>
    <row r="389" spans="1:22" x14ac:dyDescent="0.4">
      <c r="A389" t="s">
        <v>463</v>
      </c>
      <c r="B389" s="2">
        <v>46097</v>
      </c>
      <c r="C389">
        <v>2026</v>
      </c>
      <c r="D389" t="s">
        <v>23</v>
      </c>
      <c r="E389" t="s">
        <v>45</v>
      </c>
      <c r="F389" t="s">
        <v>25</v>
      </c>
      <c r="G389" t="s">
        <v>73</v>
      </c>
      <c r="H389" t="s">
        <v>74</v>
      </c>
      <c r="I389" t="s">
        <v>44</v>
      </c>
      <c r="J389" t="s">
        <v>74</v>
      </c>
      <c r="K389" t="s">
        <v>74</v>
      </c>
      <c r="L389" s="3">
        <v>11169</v>
      </c>
      <c r="M389" s="3">
        <v>7087</v>
      </c>
      <c r="N389" t="s">
        <v>60</v>
      </c>
      <c r="O389" t="s">
        <v>31</v>
      </c>
      <c r="P389" t="s">
        <v>32</v>
      </c>
      <c r="Q389" t="s">
        <v>33</v>
      </c>
      <c r="R389" t="s">
        <v>34</v>
      </c>
      <c r="S389" s="3">
        <v>367324</v>
      </c>
      <c r="T389" t="str">
        <f>TEXT(tblTransactions[[#This Row],[Date]],"mmm")</f>
        <v>Mar</v>
      </c>
      <c r="U389" t="str">
        <f>"Q"&amp;ROUNDUP(MONTH(tblTransactions[[#This Row],[Date]])/3,0)</f>
        <v>Q1</v>
      </c>
      <c r="V389">
        <f>MONTH(tblTransactions[[#This Row],[Date]])</f>
        <v>3</v>
      </c>
    </row>
    <row r="390" spans="1:22" x14ac:dyDescent="0.4">
      <c r="A390" t="s">
        <v>464</v>
      </c>
      <c r="B390" s="2">
        <v>46098</v>
      </c>
      <c r="C390">
        <v>2026</v>
      </c>
      <c r="D390" t="s">
        <v>23</v>
      </c>
      <c r="E390" t="s">
        <v>45</v>
      </c>
      <c r="F390" t="s">
        <v>25</v>
      </c>
      <c r="G390" t="s">
        <v>46</v>
      </c>
      <c r="H390" t="s">
        <v>47</v>
      </c>
      <c r="I390" t="s">
        <v>28</v>
      </c>
      <c r="J390" t="s">
        <v>90</v>
      </c>
      <c r="K390" t="s">
        <v>47</v>
      </c>
      <c r="L390" s="3">
        <v>18171</v>
      </c>
      <c r="M390" s="3">
        <v>14333</v>
      </c>
      <c r="N390" t="s">
        <v>30</v>
      </c>
      <c r="O390" t="s">
        <v>31</v>
      </c>
      <c r="P390" t="s">
        <v>32</v>
      </c>
      <c r="Q390" t="s">
        <v>34</v>
      </c>
      <c r="R390" t="s">
        <v>34</v>
      </c>
      <c r="S390" s="3">
        <v>349153</v>
      </c>
      <c r="T390" t="str">
        <f>TEXT(tblTransactions[[#This Row],[Date]],"mmm")</f>
        <v>Mar</v>
      </c>
      <c r="U390" t="str">
        <f>"Q"&amp;ROUNDUP(MONTH(tblTransactions[[#This Row],[Date]])/3,0)</f>
        <v>Q1</v>
      </c>
      <c r="V390">
        <f>MONTH(tblTransactions[[#This Row],[Date]])</f>
        <v>3</v>
      </c>
    </row>
    <row r="391" spans="1:22" x14ac:dyDescent="0.4">
      <c r="A391" t="s">
        <v>465</v>
      </c>
      <c r="B391" s="2">
        <v>46099</v>
      </c>
      <c r="C391">
        <v>2026</v>
      </c>
      <c r="D391" t="s">
        <v>44</v>
      </c>
      <c r="E391" t="s">
        <v>24</v>
      </c>
      <c r="F391" t="s">
        <v>25</v>
      </c>
      <c r="G391" t="s">
        <v>73</v>
      </c>
      <c r="H391" t="s">
        <v>74</v>
      </c>
      <c r="I391" t="s">
        <v>48</v>
      </c>
      <c r="J391" t="s">
        <v>29</v>
      </c>
      <c r="K391" t="s">
        <v>74</v>
      </c>
      <c r="L391" s="3">
        <v>13914</v>
      </c>
      <c r="M391" s="3">
        <v>19564</v>
      </c>
      <c r="N391" t="s">
        <v>54</v>
      </c>
      <c r="O391" t="s">
        <v>42</v>
      </c>
      <c r="P391" t="s">
        <v>32</v>
      </c>
      <c r="Q391" t="s">
        <v>34</v>
      </c>
      <c r="R391" t="s">
        <v>34</v>
      </c>
      <c r="S391" s="3">
        <v>335239</v>
      </c>
      <c r="T391" t="str">
        <f>TEXT(tblTransactions[[#This Row],[Date]],"mmm")</f>
        <v>Mar</v>
      </c>
      <c r="U391" t="str">
        <f>"Q"&amp;ROUNDUP(MONTH(tblTransactions[[#This Row],[Date]])/3,0)</f>
        <v>Q1</v>
      </c>
      <c r="V391">
        <f>MONTH(tblTransactions[[#This Row],[Date]])</f>
        <v>3</v>
      </c>
    </row>
    <row r="392" spans="1:22" x14ac:dyDescent="0.4">
      <c r="A392" t="s">
        <v>466</v>
      </c>
      <c r="B392" s="2">
        <v>46100</v>
      </c>
      <c r="C392">
        <v>2026</v>
      </c>
      <c r="D392" t="s">
        <v>68</v>
      </c>
      <c r="E392" t="s">
        <v>86</v>
      </c>
      <c r="F392" t="s">
        <v>37</v>
      </c>
      <c r="G392" t="s">
        <v>52</v>
      </c>
      <c r="H392" t="s">
        <v>52</v>
      </c>
      <c r="I392" t="s">
        <v>28</v>
      </c>
      <c r="J392" t="s">
        <v>84</v>
      </c>
      <c r="K392" t="s">
        <v>52</v>
      </c>
      <c r="L392" s="3">
        <v>59467</v>
      </c>
      <c r="M392" s="3">
        <v>0</v>
      </c>
      <c r="N392" t="s">
        <v>30</v>
      </c>
      <c r="O392" t="s">
        <v>55</v>
      </c>
      <c r="P392" t="s">
        <v>32</v>
      </c>
      <c r="Q392" t="s">
        <v>33</v>
      </c>
      <c r="R392" t="s">
        <v>34</v>
      </c>
      <c r="S392" s="3">
        <v>394706</v>
      </c>
      <c r="T392" t="str">
        <f>TEXT(tblTransactions[[#This Row],[Date]],"mmm")</f>
        <v>Mar</v>
      </c>
      <c r="U392" t="str">
        <f>"Q"&amp;ROUNDUP(MONTH(tblTransactions[[#This Row],[Date]])/3,0)</f>
        <v>Q1</v>
      </c>
      <c r="V392">
        <f>MONTH(tblTransactions[[#This Row],[Date]])</f>
        <v>3</v>
      </c>
    </row>
    <row r="393" spans="1:22" x14ac:dyDescent="0.4">
      <c r="A393" t="s">
        <v>467</v>
      </c>
      <c r="B393" s="2">
        <v>46101</v>
      </c>
      <c r="C393">
        <v>2026</v>
      </c>
      <c r="D393" t="s">
        <v>44</v>
      </c>
      <c r="E393" t="s">
        <v>36</v>
      </c>
      <c r="F393" t="s">
        <v>37</v>
      </c>
      <c r="G393" t="s">
        <v>77</v>
      </c>
      <c r="H393" t="s">
        <v>78</v>
      </c>
      <c r="I393" t="s">
        <v>53</v>
      </c>
      <c r="J393" t="s">
        <v>84</v>
      </c>
      <c r="K393" t="s">
        <v>78</v>
      </c>
      <c r="L393" s="3">
        <v>67207</v>
      </c>
      <c r="M393" s="3">
        <v>0</v>
      </c>
      <c r="N393" t="s">
        <v>54</v>
      </c>
      <c r="O393" t="s">
        <v>55</v>
      </c>
      <c r="P393" t="s">
        <v>32</v>
      </c>
      <c r="Q393" t="s">
        <v>34</v>
      </c>
      <c r="R393" t="s">
        <v>33</v>
      </c>
      <c r="S393" s="3">
        <v>461913</v>
      </c>
      <c r="T393" t="str">
        <f>TEXT(tblTransactions[[#This Row],[Date]],"mmm")</f>
        <v>Mar</v>
      </c>
      <c r="U393" t="str">
        <f>"Q"&amp;ROUNDUP(MONTH(tblTransactions[[#This Row],[Date]])/3,0)</f>
        <v>Q1</v>
      </c>
      <c r="V393">
        <f>MONTH(tblTransactions[[#This Row],[Date]])</f>
        <v>3</v>
      </c>
    </row>
    <row r="394" spans="1:22" x14ac:dyDescent="0.4">
      <c r="A394" t="s">
        <v>468</v>
      </c>
      <c r="B394" s="2">
        <v>46102</v>
      </c>
      <c r="C394">
        <v>2026</v>
      </c>
      <c r="D394" t="s">
        <v>23</v>
      </c>
      <c r="E394" t="s">
        <v>24</v>
      </c>
      <c r="F394" t="s">
        <v>25</v>
      </c>
      <c r="G394" t="s">
        <v>70</v>
      </c>
      <c r="H394" t="s">
        <v>71</v>
      </c>
      <c r="I394" t="s">
        <v>48</v>
      </c>
      <c r="J394" t="s">
        <v>90</v>
      </c>
      <c r="K394" t="s">
        <v>71</v>
      </c>
      <c r="L394" s="3">
        <v>13501</v>
      </c>
      <c r="M394" s="3">
        <v>14851</v>
      </c>
      <c r="N394" t="s">
        <v>41</v>
      </c>
      <c r="O394" t="s">
        <v>31</v>
      </c>
      <c r="P394" t="s">
        <v>32</v>
      </c>
      <c r="Q394" t="s">
        <v>34</v>
      </c>
      <c r="R394" t="s">
        <v>34</v>
      </c>
      <c r="S394" s="3">
        <v>448412</v>
      </c>
      <c r="T394" t="str">
        <f>TEXT(tblTransactions[[#This Row],[Date]],"mmm")</f>
        <v>Mar</v>
      </c>
      <c r="U394" t="str">
        <f>"Q"&amp;ROUNDUP(MONTH(tblTransactions[[#This Row],[Date]])/3,0)</f>
        <v>Q1</v>
      </c>
      <c r="V394">
        <f>MONTH(tblTransactions[[#This Row],[Date]])</f>
        <v>3</v>
      </c>
    </row>
    <row r="395" spans="1:22" x14ac:dyDescent="0.4">
      <c r="A395" t="s">
        <v>469</v>
      </c>
      <c r="B395" s="2">
        <v>46103</v>
      </c>
      <c r="C395">
        <v>2026</v>
      </c>
      <c r="D395" t="s">
        <v>68</v>
      </c>
      <c r="E395" t="s">
        <v>86</v>
      </c>
      <c r="F395" t="s">
        <v>25</v>
      </c>
      <c r="G395" t="s">
        <v>73</v>
      </c>
      <c r="H395" t="s">
        <v>74</v>
      </c>
      <c r="I395" t="s">
        <v>58</v>
      </c>
      <c r="J395" t="s">
        <v>111</v>
      </c>
      <c r="K395" t="s">
        <v>74</v>
      </c>
      <c r="L395" s="3">
        <v>1077</v>
      </c>
      <c r="M395" s="3">
        <v>11191</v>
      </c>
      <c r="N395" t="s">
        <v>30</v>
      </c>
      <c r="O395" t="s">
        <v>50</v>
      </c>
      <c r="P395" t="s">
        <v>32</v>
      </c>
      <c r="Q395" t="s">
        <v>34</v>
      </c>
      <c r="R395" t="s">
        <v>34</v>
      </c>
      <c r="S395" s="3">
        <v>447335</v>
      </c>
      <c r="T395" t="str">
        <f>TEXT(tblTransactions[[#This Row],[Date]],"mmm")</f>
        <v>Mar</v>
      </c>
      <c r="U395" t="str">
        <f>"Q"&amp;ROUNDUP(MONTH(tblTransactions[[#This Row],[Date]])/3,0)</f>
        <v>Q1</v>
      </c>
      <c r="V395">
        <f>MONTH(tblTransactions[[#This Row],[Date]])</f>
        <v>3</v>
      </c>
    </row>
    <row r="396" spans="1:22" x14ac:dyDescent="0.4">
      <c r="A396" t="s">
        <v>470</v>
      </c>
      <c r="B396" s="2">
        <v>46104</v>
      </c>
      <c r="C396">
        <v>2026</v>
      </c>
      <c r="D396" t="s">
        <v>23</v>
      </c>
      <c r="E396" t="s">
        <v>36</v>
      </c>
      <c r="F396" t="s">
        <v>25</v>
      </c>
      <c r="G396" t="s">
        <v>73</v>
      </c>
      <c r="H396" t="s">
        <v>74</v>
      </c>
      <c r="I396" t="s">
        <v>44</v>
      </c>
      <c r="J396" t="s">
        <v>111</v>
      </c>
      <c r="K396" t="s">
        <v>74</v>
      </c>
      <c r="L396" s="3">
        <v>19665</v>
      </c>
      <c r="M396" s="3">
        <v>14356</v>
      </c>
      <c r="N396" t="s">
        <v>30</v>
      </c>
      <c r="O396" t="s">
        <v>42</v>
      </c>
      <c r="P396" t="s">
        <v>32</v>
      </c>
      <c r="Q396" t="s">
        <v>33</v>
      </c>
      <c r="R396" t="s">
        <v>34</v>
      </c>
      <c r="S396" s="3">
        <v>427670</v>
      </c>
      <c r="T396" t="str">
        <f>TEXT(tblTransactions[[#This Row],[Date]],"mmm")</f>
        <v>Mar</v>
      </c>
      <c r="U396" t="str">
        <f>"Q"&amp;ROUNDUP(MONTH(tblTransactions[[#This Row],[Date]])/3,0)</f>
        <v>Q1</v>
      </c>
      <c r="V396">
        <f>MONTH(tblTransactions[[#This Row],[Date]])</f>
        <v>3</v>
      </c>
    </row>
    <row r="397" spans="1:22" x14ac:dyDescent="0.4">
      <c r="A397" t="s">
        <v>471</v>
      </c>
      <c r="B397" s="2">
        <v>46107</v>
      </c>
      <c r="C397">
        <v>2026</v>
      </c>
      <c r="D397" t="s">
        <v>44</v>
      </c>
      <c r="E397" t="s">
        <v>24</v>
      </c>
      <c r="F397" t="s">
        <v>25</v>
      </c>
      <c r="G397" t="s">
        <v>73</v>
      </c>
      <c r="H397" t="s">
        <v>74</v>
      </c>
      <c r="I397" t="s">
        <v>39</v>
      </c>
      <c r="J397" t="s">
        <v>111</v>
      </c>
      <c r="K397" t="s">
        <v>74</v>
      </c>
      <c r="L397" s="3">
        <v>2295</v>
      </c>
      <c r="M397" s="3">
        <v>17530</v>
      </c>
      <c r="N397" t="s">
        <v>30</v>
      </c>
      <c r="O397" t="s">
        <v>55</v>
      </c>
      <c r="P397" t="s">
        <v>32</v>
      </c>
      <c r="Q397" t="s">
        <v>34</v>
      </c>
      <c r="R397" t="s">
        <v>34</v>
      </c>
      <c r="S397" s="3">
        <v>425375</v>
      </c>
      <c r="T397" t="str">
        <f>TEXT(tblTransactions[[#This Row],[Date]],"mmm")</f>
        <v>Mar</v>
      </c>
      <c r="U397" t="str">
        <f>"Q"&amp;ROUNDUP(MONTH(tblTransactions[[#This Row],[Date]])/3,0)</f>
        <v>Q1</v>
      </c>
      <c r="V397">
        <f>MONTH(tblTransactions[[#This Row],[Date]])</f>
        <v>3</v>
      </c>
    </row>
    <row r="398" spans="1:22" x14ac:dyDescent="0.4">
      <c r="A398" t="s">
        <v>472</v>
      </c>
      <c r="B398" s="2">
        <v>46108</v>
      </c>
      <c r="C398">
        <v>2026</v>
      </c>
      <c r="D398" t="s">
        <v>44</v>
      </c>
      <c r="E398" t="s">
        <v>45</v>
      </c>
      <c r="F398" t="s">
        <v>25</v>
      </c>
      <c r="G398" t="s">
        <v>73</v>
      </c>
      <c r="H398" t="s">
        <v>74</v>
      </c>
      <c r="I398" t="s">
        <v>53</v>
      </c>
      <c r="J398" t="s">
        <v>29</v>
      </c>
      <c r="K398" t="s">
        <v>74</v>
      </c>
      <c r="L398" s="3">
        <v>15481</v>
      </c>
      <c r="M398" s="3">
        <v>4046</v>
      </c>
      <c r="N398" t="s">
        <v>54</v>
      </c>
      <c r="O398" t="s">
        <v>42</v>
      </c>
      <c r="P398" t="s">
        <v>32</v>
      </c>
      <c r="Q398" t="s">
        <v>33</v>
      </c>
      <c r="R398" t="s">
        <v>34</v>
      </c>
      <c r="S398" s="3">
        <v>409894</v>
      </c>
      <c r="T398" t="str">
        <f>TEXT(tblTransactions[[#This Row],[Date]],"mmm")</f>
        <v>Mar</v>
      </c>
      <c r="U398" t="str">
        <f>"Q"&amp;ROUNDUP(MONTH(tblTransactions[[#This Row],[Date]])/3,0)</f>
        <v>Q1</v>
      </c>
      <c r="V398">
        <f>MONTH(tblTransactions[[#This Row],[Date]])</f>
        <v>3</v>
      </c>
    </row>
    <row r="399" spans="1:22" x14ac:dyDescent="0.4">
      <c r="A399" t="s">
        <v>473</v>
      </c>
      <c r="B399" s="2">
        <v>46109</v>
      </c>
      <c r="C399">
        <v>2026</v>
      </c>
      <c r="D399" t="s">
        <v>68</v>
      </c>
      <c r="E399" t="s">
        <v>45</v>
      </c>
      <c r="F399" t="s">
        <v>25</v>
      </c>
      <c r="G399" t="s">
        <v>46</v>
      </c>
      <c r="H399" t="s">
        <v>47</v>
      </c>
      <c r="I399" t="s">
        <v>39</v>
      </c>
      <c r="J399" t="s">
        <v>59</v>
      </c>
      <c r="K399" t="s">
        <v>47</v>
      </c>
      <c r="L399" s="3">
        <v>7607</v>
      </c>
      <c r="M399" s="3">
        <v>5481</v>
      </c>
      <c r="N399" t="s">
        <v>54</v>
      </c>
      <c r="O399" t="s">
        <v>55</v>
      </c>
      <c r="P399" t="s">
        <v>32</v>
      </c>
      <c r="Q399" t="s">
        <v>33</v>
      </c>
      <c r="R399" t="s">
        <v>34</v>
      </c>
      <c r="S399" s="3">
        <v>402287</v>
      </c>
      <c r="T399" t="str">
        <f>TEXT(tblTransactions[[#This Row],[Date]],"mmm")</f>
        <v>Mar</v>
      </c>
      <c r="U399" t="str">
        <f>"Q"&amp;ROUNDUP(MONTH(tblTransactions[[#This Row],[Date]])/3,0)</f>
        <v>Q1</v>
      </c>
      <c r="V399">
        <f>MONTH(tblTransactions[[#This Row],[Date]])</f>
        <v>3</v>
      </c>
    </row>
    <row r="400" spans="1:22" x14ac:dyDescent="0.4">
      <c r="A400" t="s">
        <v>474</v>
      </c>
      <c r="B400" s="2">
        <v>46110</v>
      </c>
      <c r="C400">
        <v>2026</v>
      </c>
      <c r="D400" t="s">
        <v>23</v>
      </c>
      <c r="E400" t="s">
        <v>86</v>
      </c>
      <c r="F400" t="s">
        <v>37</v>
      </c>
      <c r="G400" t="s">
        <v>52</v>
      </c>
      <c r="H400" t="s">
        <v>52</v>
      </c>
      <c r="I400" t="s">
        <v>44</v>
      </c>
      <c r="J400" t="s">
        <v>59</v>
      </c>
      <c r="K400" t="s">
        <v>52</v>
      </c>
      <c r="L400" s="3">
        <v>53447</v>
      </c>
      <c r="M400" s="3">
        <v>0</v>
      </c>
      <c r="N400" t="s">
        <v>54</v>
      </c>
      <c r="O400" t="s">
        <v>55</v>
      </c>
      <c r="P400" t="s">
        <v>32</v>
      </c>
      <c r="Q400" t="s">
        <v>33</v>
      </c>
      <c r="R400" t="s">
        <v>34</v>
      </c>
      <c r="S400" s="3">
        <v>455734</v>
      </c>
      <c r="T400" t="str">
        <f>TEXT(tblTransactions[[#This Row],[Date]],"mmm")</f>
        <v>Mar</v>
      </c>
      <c r="U400" t="str">
        <f>"Q"&amp;ROUNDUP(MONTH(tblTransactions[[#This Row],[Date]])/3,0)</f>
        <v>Q1</v>
      </c>
      <c r="V400">
        <f>MONTH(tblTransactions[[#This Row],[Date]])</f>
        <v>3</v>
      </c>
    </row>
    <row r="401" spans="1:22" x14ac:dyDescent="0.4">
      <c r="A401" t="s">
        <v>475</v>
      </c>
      <c r="B401" s="2">
        <v>46111</v>
      </c>
      <c r="C401">
        <v>2026</v>
      </c>
      <c r="D401" t="s">
        <v>23</v>
      </c>
      <c r="E401" t="s">
        <v>45</v>
      </c>
      <c r="F401" t="s">
        <v>25</v>
      </c>
      <c r="G401" t="s">
        <v>70</v>
      </c>
      <c r="H401" t="s">
        <v>71</v>
      </c>
      <c r="I401" t="s">
        <v>44</v>
      </c>
      <c r="J401" t="s">
        <v>65</v>
      </c>
      <c r="K401" t="s">
        <v>71</v>
      </c>
      <c r="L401" s="3">
        <v>3991</v>
      </c>
      <c r="M401" s="3">
        <v>5862</v>
      </c>
      <c r="N401" t="s">
        <v>54</v>
      </c>
      <c r="O401" t="s">
        <v>42</v>
      </c>
      <c r="P401" t="s">
        <v>32</v>
      </c>
      <c r="Q401" t="s">
        <v>33</v>
      </c>
      <c r="R401" t="s">
        <v>34</v>
      </c>
      <c r="S401" s="3">
        <v>451743</v>
      </c>
      <c r="T401" t="str">
        <f>TEXT(tblTransactions[[#This Row],[Date]],"mmm")</f>
        <v>Mar</v>
      </c>
      <c r="U401" t="str">
        <f>"Q"&amp;ROUNDUP(MONTH(tblTransactions[[#This Row],[Date]])/3,0)</f>
        <v>Q1</v>
      </c>
      <c r="V401">
        <f>MONTH(tblTransactions[[#This Row],[Date]])</f>
        <v>3</v>
      </c>
    </row>
    <row r="402" spans="1:22" x14ac:dyDescent="0.4">
      <c r="A402" t="s">
        <v>476</v>
      </c>
      <c r="B402" s="2">
        <v>46112</v>
      </c>
      <c r="C402">
        <v>2026</v>
      </c>
      <c r="D402" t="s">
        <v>44</v>
      </c>
      <c r="E402" t="s">
        <v>24</v>
      </c>
      <c r="F402" t="s">
        <v>25</v>
      </c>
      <c r="G402" t="s">
        <v>26</v>
      </c>
      <c r="H402" t="s">
        <v>27</v>
      </c>
      <c r="I402" t="s">
        <v>58</v>
      </c>
      <c r="J402" t="s">
        <v>84</v>
      </c>
      <c r="K402" t="s">
        <v>27</v>
      </c>
      <c r="L402" s="3">
        <v>14941</v>
      </c>
      <c r="M402" s="3">
        <v>18769</v>
      </c>
      <c r="N402" t="s">
        <v>60</v>
      </c>
      <c r="O402" t="s">
        <v>55</v>
      </c>
      <c r="P402" t="s">
        <v>32</v>
      </c>
      <c r="Q402" t="s">
        <v>34</v>
      </c>
      <c r="R402" t="s">
        <v>34</v>
      </c>
      <c r="S402" s="3">
        <v>436802</v>
      </c>
      <c r="T402" t="str">
        <f>TEXT(tblTransactions[[#This Row],[Date]],"mmm")</f>
        <v>Mar</v>
      </c>
      <c r="U402" t="str">
        <f>"Q"&amp;ROUNDUP(MONTH(tblTransactions[[#This Row],[Date]])/3,0)</f>
        <v>Q1</v>
      </c>
      <c r="V402">
        <f>MONTH(tblTransactions[[#This Row],[Date]])</f>
        <v>3</v>
      </c>
    </row>
    <row r="403" spans="1:22" x14ac:dyDescent="0.4">
      <c r="A403" t="s">
        <v>477</v>
      </c>
      <c r="B403" s="2">
        <v>46113</v>
      </c>
      <c r="C403">
        <v>2026</v>
      </c>
      <c r="D403" t="s">
        <v>23</v>
      </c>
      <c r="E403" t="s">
        <v>24</v>
      </c>
      <c r="F403" t="s">
        <v>25</v>
      </c>
      <c r="G403" t="s">
        <v>63</v>
      </c>
      <c r="H403" t="s">
        <v>64</v>
      </c>
      <c r="I403" t="s">
        <v>58</v>
      </c>
      <c r="J403" t="s">
        <v>111</v>
      </c>
      <c r="K403" t="s">
        <v>64</v>
      </c>
      <c r="L403" s="3">
        <v>17061</v>
      </c>
      <c r="M403" s="3">
        <v>10540</v>
      </c>
      <c r="N403" t="s">
        <v>30</v>
      </c>
      <c r="O403" t="s">
        <v>50</v>
      </c>
      <c r="P403" t="s">
        <v>32</v>
      </c>
      <c r="Q403" t="s">
        <v>34</v>
      </c>
      <c r="R403" t="s">
        <v>34</v>
      </c>
      <c r="S403" s="3">
        <v>419741</v>
      </c>
      <c r="T403" t="str">
        <f>TEXT(tblTransactions[[#This Row],[Date]],"mmm")</f>
        <v>Apr</v>
      </c>
      <c r="U403" t="str">
        <f>"Q"&amp;ROUNDUP(MONTH(tblTransactions[[#This Row],[Date]])/3,0)</f>
        <v>Q2</v>
      </c>
      <c r="V403">
        <f>MONTH(tblTransactions[[#This Row],[Date]])</f>
        <v>4</v>
      </c>
    </row>
    <row r="404" spans="1:22" x14ac:dyDescent="0.4">
      <c r="A404" t="s">
        <v>478</v>
      </c>
      <c r="B404" s="2">
        <v>46114</v>
      </c>
      <c r="C404">
        <v>2026</v>
      </c>
      <c r="D404" t="s">
        <v>23</v>
      </c>
      <c r="E404" t="s">
        <v>36</v>
      </c>
      <c r="F404" t="s">
        <v>25</v>
      </c>
      <c r="G404" t="s">
        <v>46</v>
      </c>
      <c r="H404" t="s">
        <v>47</v>
      </c>
      <c r="I404" t="s">
        <v>48</v>
      </c>
      <c r="J404" t="s">
        <v>29</v>
      </c>
      <c r="K404" t="s">
        <v>47</v>
      </c>
      <c r="L404" s="3">
        <v>11027</v>
      </c>
      <c r="M404" s="3">
        <v>2238</v>
      </c>
      <c r="N404" t="s">
        <v>54</v>
      </c>
      <c r="O404" t="s">
        <v>50</v>
      </c>
      <c r="P404" t="s">
        <v>32</v>
      </c>
      <c r="Q404" t="s">
        <v>34</v>
      </c>
      <c r="R404" t="s">
        <v>34</v>
      </c>
      <c r="S404" s="3">
        <v>408714</v>
      </c>
      <c r="T404" t="str">
        <f>TEXT(tblTransactions[[#This Row],[Date]],"mmm")</f>
        <v>Apr</v>
      </c>
      <c r="U404" t="str">
        <f>"Q"&amp;ROUNDUP(MONTH(tblTransactions[[#This Row],[Date]])/3,0)</f>
        <v>Q2</v>
      </c>
      <c r="V404">
        <f>MONTH(tblTransactions[[#This Row],[Date]])</f>
        <v>4</v>
      </c>
    </row>
    <row r="405" spans="1:22" x14ac:dyDescent="0.4">
      <c r="A405" t="s">
        <v>479</v>
      </c>
      <c r="B405" s="2">
        <v>46115</v>
      </c>
      <c r="C405">
        <v>2026</v>
      </c>
      <c r="D405" t="s">
        <v>44</v>
      </c>
      <c r="E405" t="s">
        <v>86</v>
      </c>
      <c r="F405" t="s">
        <v>37</v>
      </c>
      <c r="G405" t="s">
        <v>38</v>
      </c>
      <c r="H405" t="s">
        <v>38</v>
      </c>
      <c r="I405" t="s">
        <v>48</v>
      </c>
      <c r="J405" t="s">
        <v>40</v>
      </c>
      <c r="K405" t="s">
        <v>38</v>
      </c>
      <c r="L405" s="3">
        <v>79944</v>
      </c>
      <c r="M405" s="3">
        <v>0</v>
      </c>
      <c r="N405" t="s">
        <v>30</v>
      </c>
      <c r="O405" t="s">
        <v>50</v>
      </c>
      <c r="P405" t="s">
        <v>32</v>
      </c>
      <c r="Q405" t="s">
        <v>33</v>
      </c>
      <c r="R405" t="s">
        <v>34</v>
      </c>
      <c r="S405" s="3">
        <v>488658</v>
      </c>
      <c r="T405" t="str">
        <f>TEXT(tblTransactions[[#This Row],[Date]],"mmm")</f>
        <v>Apr</v>
      </c>
      <c r="U405" t="str">
        <f>"Q"&amp;ROUNDUP(MONTH(tblTransactions[[#This Row],[Date]])/3,0)</f>
        <v>Q2</v>
      </c>
      <c r="V405">
        <f>MONTH(tblTransactions[[#This Row],[Date]])</f>
        <v>4</v>
      </c>
    </row>
    <row r="406" spans="1:22" x14ac:dyDescent="0.4">
      <c r="A406" t="s">
        <v>480</v>
      </c>
      <c r="B406" s="2">
        <v>46116</v>
      </c>
      <c r="C406">
        <v>2026</v>
      </c>
      <c r="D406" t="s">
        <v>68</v>
      </c>
      <c r="E406" t="s">
        <v>36</v>
      </c>
      <c r="F406" t="s">
        <v>25</v>
      </c>
      <c r="G406" t="s">
        <v>73</v>
      </c>
      <c r="H406" t="s">
        <v>74</v>
      </c>
      <c r="I406" t="s">
        <v>58</v>
      </c>
      <c r="J406" t="s">
        <v>65</v>
      </c>
      <c r="K406" t="s">
        <v>74</v>
      </c>
      <c r="L406" s="3">
        <v>473</v>
      </c>
      <c r="M406" s="3">
        <v>17905</v>
      </c>
      <c r="N406" t="s">
        <v>41</v>
      </c>
      <c r="O406" t="s">
        <v>50</v>
      </c>
      <c r="P406" t="s">
        <v>32</v>
      </c>
      <c r="Q406" t="s">
        <v>34</v>
      </c>
      <c r="R406" t="s">
        <v>34</v>
      </c>
      <c r="S406" s="3">
        <v>488185</v>
      </c>
      <c r="T406" t="str">
        <f>TEXT(tblTransactions[[#This Row],[Date]],"mmm")</f>
        <v>Apr</v>
      </c>
      <c r="U406" t="str">
        <f>"Q"&amp;ROUNDUP(MONTH(tblTransactions[[#This Row],[Date]])/3,0)</f>
        <v>Q2</v>
      </c>
      <c r="V406">
        <f>MONTH(tblTransactions[[#This Row],[Date]])</f>
        <v>4</v>
      </c>
    </row>
    <row r="407" spans="1:22" x14ac:dyDescent="0.4">
      <c r="A407" t="s">
        <v>481</v>
      </c>
      <c r="B407" s="2">
        <v>46117</v>
      </c>
      <c r="C407">
        <v>2026</v>
      </c>
      <c r="D407" t="s">
        <v>68</v>
      </c>
      <c r="E407" t="s">
        <v>24</v>
      </c>
      <c r="F407" t="s">
        <v>25</v>
      </c>
      <c r="G407" t="s">
        <v>73</v>
      </c>
      <c r="H407" t="s">
        <v>74</v>
      </c>
      <c r="I407" t="s">
        <v>28</v>
      </c>
      <c r="J407" t="s">
        <v>74</v>
      </c>
      <c r="K407" t="s">
        <v>74</v>
      </c>
      <c r="L407" s="3">
        <v>5451</v>
      </c>
      <c r="M407" s="3">
        <v>3098</v>
      </c>
      <c r="N407" t="s">
        <v>41</v>
      </c>
      <c r="O407" t="s">
        <v>50</v>
      </c>
      <c r="P407" t="s">
        <v>32</v>
      </c>
      <c r="Q407" t="s">
        <v>34</v>
      </c>
      <c r="R407" t="s">
        <v>34</v>
      </c>
      <c r="S407" s="3">
        <v>482734</v>
      </c>
      <c r="T407" t="str">
        <f>TEXT(tblTransactions[[#This Row],[Date]],"mmm")</f>
        <v>Apr</v>
      </c>
      <c r="U407" t="str">
        <f>"Q"&amp;ROUNDUP(MONTH(tblTransactions[[#This Row],[Date]])/3,0)</f>
        <v>Q2</v>
      </c>
      <c r="V407">
        <f>MONTH(tblTransactions[[#This Row],[Date]])</f>
        <v>4</v>
      </c>
    </row>
    <row r="408" spans="1:22" x14ac:dyDescent="0.4">
      <c r="A408" t="s">
        <v>482</v>
      </c>
      <c r="B408" s="2">
        <v>46118</v>
      </c>
      <c r="C408">
        <v>2026</v>
      </c>
      <c r="D408" t="s">
        <v>23</v>
      </c>
      <c r="E408" t="s">
        <v>36</v>
      </c>
      <c r="F408" t="s">
        <v>25</v>
      </c>
      <c r="G408" t="s">
        <v>63</v>
      </c>
      <c r="H408" t="s">
        <v>64</v>
      </c>
      <c r="I408" t="s">
        <v>48</v>
      </c>
      <c r="J408" t="s">
        <v>65</v>
      </c>
      <c r="K408" t="s">
        <v>64</v>
      </c>
      <c r="L408" s="3">
        <v>13420</v>
      </c>
      <c r="M408" s="3">
        <v>15301</v>
      </c>
      <c r="N408" t="s">
        <v>30</v>
      </c>
      <c r="O408" t="s">
        <v>50</v>
      </c>
      <c r="P408" t="s">
        <v>32</v>
      </c>
      <c r="Q408" t="s">
        <v>34</v>
      </c>
      <c r="R408" t="s">
        <v>34</v>
      </c>
      <c r="S408" s="3">
        <v>469314</v>
      </c>
      <c r="T408" t="str">
        <f>TEXT(tblTransactions[[#This Row],[Date]],"mmm")</f>
        <v>Apr</v>
      </c>
      <c r="U408" t="str">
        <f>"Q"&amp;ROUNDUP(MONTH(tblTransactions[[#This Row],[Date]])/3,0)</f>
        <v>Q2</v>
      </c>
      <c r="V408">
        <f>MONTH(tblTransactions[[#This Row],[Date]])</f>
        <v>4</v>
      </c>
    </row>
    <row r="409" spans="1:22" x14ac:dyDescent="0.4">
      <c r="A409" t="s">
        <v>483</v>
      </c>
      <c r="B409" s="2">
        <v>46119</v>
      </c>
      <c r="C409">
        <v>2026</v>
      </c>
      <c r="D409" t="s">
        <v>44</v>
      </c>
      <c r="E409" t="s">
        <v>45</v>
      </c>
      <c r="F409" t="s">
        <v>25</v>
      </c>
      <c r="G409" t="s">
        <v>104</v>
      </c>
      <c r="H409" t="s">
        <v>105</v>
      </c>
      <c r="I409" t="s">
        <v>28</v>
      </c>
      <c r="J409" t="s">
        <v>59</v>
      </c>
      <c r="K409" t="s">
        <v>105</v>
      </c>
      <c r="L409" s="3">
        <v>2874</v>
      </c>
      <c r="M409" s="3">
        <v>19192</v>
      </c>
      <c r="N409" t="s">
        <v>41</v>
      </c>
      <c r="O409" t="s">
        <v>55</v>
      </c>
      <c r="P409" t="s">
        <v>32</v>
      </c>
      <c r="Q409" t="s">
        <v>33</v>
      </c>
      <c r="R409" t="s">
        <v>34</v>
      </c>
      <c r="S409" s="3">
        <v>466440</v>
      </c>
      <c r="T409" t="str">
        <f>TEXT(tblTransactions[[#This Row],[Date]],"mmm")</f>
        <v>Apr</v>
      </c>
      <c r="U409" t="str">
        <f>"Q"&amp;ROUNDUP(MONTH(tblTransactions[[#This Row],[Date]])/3,0)</f>
        <v>Q2</v>
      </c>
      <c r="V409">
        <f>MONTH(tblTransactions[[#This Row],[Date]])</f>
        <v>4</v>
      </c>
    </row>
    <row r="410" spans="1:22" x14ac:dyDescent="0.4">
      <c r="A410" t="s">
        <v>484</v>
      </c>
      <c r="B410" s="2">
        <v>46120</v>
      </c>
      <c r="C410">
        <v>2026</v>
      </c>
      <c r="D410" t="s">
        <v>23</v>
      </c>
      <c r="E410" t="s">
        <v>24</v>
      </c>
      <c r="F410" t="s">
        <v>25</v>
      </c>
      <c r="G410" t="s">
        <v>98</v>
      </c>
      <c r="H410" t="s">
        <v>99</v>
      </c>
      <c r="I410" t="s">
        <v>44</v>
      </c>
      <c r="J410" t="s">
        <v>90</v>
      </c>
      <c r="K410" t="s">
        <v>99</v>
      </c>
      <c r="L410" s="3">
        <v>13811</v>
      </c>
      <c r="M410" s="3">
        <v>14941</v>
      </c>
      <c r="N410" t="s">
        <v>54</v>
      </c>
      <c r="O410" t="s">
        <v>42</v>
      </c>
      <c r="P410" t="s">
        <v>32</v>
      </c>
      <c r="Q410" t="s">
        <v>34</v>
      </c>
      <c r="R410" t="s">
        <v>34</v>
      </c>
      <c r="S410" s="3">
        <v>452629</v>
      </c>
      <c r="T410" t="str">
        <f>TEXT(tblTransactions[[#This Row],[Date]],"mmm")</f>
        <v>Apr</v>
      </c>
      <c r="U410" t="str">
        <f>"Q"&amp;ROUNDUP(MONTH(tblTransactions[[#This Row],[Date]])/3,0)</f>
        <v>Q2</v>
      </c>
      <c r="V410">
        <f>MONTH(tblTransactions[[#This Row],[Date]])</f>
        <v>4</v>
      </c>
    </row>
    <row r="411" spans="1:22" x14ac:dyDescent="0.4">
      <c r="A411" t="s">
        <v>485</v>
      </c>
      <c r="B411" s="2">
        <v>46121</v>
      </c>
      <c r="C411">
        <v>2026</v>
      </c>
      <c r="D411" t="s">
        <v>68</v>
      </c>
      <c r="E411" t="s">
        <v>24</v>
      </c>
      <c r="F411" t="s">
        <v>37</v>
      </c>
      <c r="G411" t="s">
        <v>93</v>
      </c>
      <c r="H411" t="s">
        <v>94</v>
      </c>
      <c r="I411" t="s">
        <v>44</v>
      </c>
      <c r="J411" t="s">
        <v>40</v>
      </c>
      <c r="K411" t="s">
        <v>94</v>
      </c>
      <c r="L411" s="3">
        <v>15911</v>
      </c>
      <c r="M411" s="3">
        <v>0</v>
      </c>
      <c r="N411" t="s">
        <v>60</v>
      </c>
      <c r="O411" t="s">
        <v>42</v>
      </c>
      <c r="P411" t="s">
        <v>32</v>
      </c>
      <c r="Q411" t="s">
        <v>33</v>
      </c>
      <c r="R411" t="s">
        <v>34</v>
      </c>
      <c r="S411" s="3">
        <v>468540</v>
      </c>
      <c r="T411" t="str">
        <f>TEXT(tblTransactions[[#This Row],[Date]],"mmm")</f>
        <v>Apr</v>
      </c>
      <c r="U411" t="str">
        <f>"Q"&amp;ROUNDUP(MONTH(tblTransactions[[#This Row],[Date]])/3,0)</f>
        <v>Q2</v>
      </c>
      <c r="V411">
        <f>MONTH(tblTransactions[[#This Row],[Date]])</f>
        <v>4</v>
      </c>
    </row>
    <row r="412" spans="1:22" x14ac:dyDescent="0.4">
      <c r="A412" t="s">
        <v>486</v>
      </c>
      <c r="B412" s="2">
        <v>46122</v>
      </c>
      <c r="C412">
        <v>2026</v>
      </c>
      <c r="D412" t="s">
        <v>68</v>
      </c>
      <c r="E412" t="s">
        <v>24</v>
      </c>
      <c r="F412" t="s">
        <v>37</v>
      </c>
      <c r="G412" t="s">
        <v>93</v>
      </c>
      <c r="H412" t="s">
        <v>94</v>
      </c>
      <c r="I412" t="s">
        <v>58</v>
      </c>
      <c r="J412" t="s">
        <v>111</v>
      </c>
      <c r="K412" t="s">
        <v>94</v>
      </c>
      <c r="L412" s="3">
        <v>3955</v>
      </c>
      <c r="M412" s="3">
        <v>0</v>
      </c>
      <c r="N412" t="s">
        <v>54</v>
      </c>
      <c r="O412" t="s">
        <v>50</v>
      </c>
      <c r="P412" t="s">
        <v>32</v>
      </c>
      <c r="Q412" t="s">
        <v>34</v>
      </c>
      <c r="R412" t="s">
        <v>34</v>
      </c>
      <c r="S412" s="3">
        <v>472495</v>
      </c>
      <c r="T412" t="str">
        <f>TEXT(tblTransactions[[#This Row],[Date]],"mmm")</f>
        <v>Apr</v>
      </c>
      <c r="U412" t="str">
        <f>"Q"&amp;ROUNDUP(MONTH(tblTransactions[[#This Row],[Date]])/3,0)</f>
        <v>Q2</v>
      </c>
      <c r="V412">
        <f>MONTH(tblTransactions[[#This Row],[Date]])</f>
        <v>4</v>
      </c>
    </row>
    <row r="413" spans="1:22" x14ac:dyDescent="0.4">
      <c r="A413" t="s">
        <v>487</v>
      </c>
      <c r="B413" s="2">
        <v>46123</v>
      </c>
      <c r="C413">
        <v>2026</v>
      </c>
      <c r="D413" t="s">
        <v>23</v>
      </c>
      <c r="E413" t="s">
        <v>45</v>
      </c>
      <c r="F413" t="s">
        <v>25</v>
      </c>
      <c r="G413" t="s">
        <v>63</v>
      </c>
      <c r="H413" t="s">
        <v>64</v>
      </c>
      <c r="I413" t="s">
        <v>39</v>
      </c>
      <c r="J413" t="s">
        <v>65</v>
      </c>
      <c r="K413" t="s">
        <v>64</v>
      </c>
      <c r="L413" s="3">
        <v>3475</v>
      </c>
      <c r="M413" s="3">
        <v>15720</v>
      </c>
      <c r="N413" t="s">
        <v>30</v>
      </c>
      <c r="O413" t="s">
        <v>55</v>
      </c>
      <c r="P413" t="s">
        <v>32</v>
      </c>
      <c r="Q413" t="s">
        <v>34</v>
      </c>
      <c r="R413" t="s">
        <v>34</v>
      </c>
      <c r="S413" s="3">
        <v>469020</v>
      </c>
      <c r="T413" t="str">
        <f>TEXT(tblTransactions[[#This Row],[Date]],"mmm")</f>
        <v>Apr</v>
      </c>
      <c r="U413" t="str">
        <f>"Q"&amp;ROUNDUP(MONTH(tblTransactions[[#This Row],[Date]])/3,0)</f>
        <v>Q2</v>
      </c>
      <c r="V413">
        <f>MONTH(tblTransactions[[#This Row],[Date]])</f>
        <v>4</v>
      </c>
    </row>
    <row r="414" spans="1:22" x14ac:dyDescent="0.4">
      <c r="A414" t="s">
        <v>488</v>
      </c>
      <c r="B414" s="2">
        <v>46124</v>
      </c>
      <c r="C414">
        <v>2026</v>
      </c>
      <c r="D414" t="s">
        <v>23</v>
      </c>
      <c r="E414" t="s">
        <v>86</v>
      </c>
      <c r="F414" t="s">
        <v>25</v>
      </c>
      <c r="G414" t="s">
        <v>73</v>
      </c>
      <c r="H414" t="s">
        <v>74</v>
      </c>
      <c r="I414" t="s">
        <v>53</v>
      </c>
      <c r="J414" t="s">
        <v>59</v>
      </c>
      <c r="K414" t="s">
        <v>74</v>
      </c>
      <c r="L414" s="3">
        <v>14953</v>
      </c>
      <c r="M414" s="3">
        <v>10440</v>
      </c>
      <c r="N414" t="s">
        <v>30</v>
      </c>
      <c r="O414" t="s">
        <v>55</v>
      </c>
      <c r="P414" t="s">
        <v>32</v>
      </c>
      <c r="Q414" t="s">
        <v>34</v>
      </c>
      <c r="R414" t="s">
        <v>34</v>
      </c>
      <c r="S414" s="3">
        <v>454067</v>
      </c>
      <c r="T414" t="str">
        <f>TEXT(tblTransactions[[#This Row],[Date]],"mmm")</f>
        <v>Apr</v>
      </c>
      <c r="U414" t="str">
        <f>"Q"&amp;ROUNDUP(MONTH(tblTransactions[[#This Row],[Date]])/3,0)</f>
        <v>Q2</v>
      </c>
      <c r="V414">
        <f>MONTH(tblTransactions[[#This Row],[Date]])</f>
        <v>4</v>
      </c>
    </row>
    <row r="415" spans="1:22" x14ac:dyDescent="0.4">
      <c r="A415" t="s">
        <v>489</v>
      </c>
      <c r="B415" s="2">
        <v>46125</v>
      </c>
      <c r="C415">
        <v>2026</v>
      </c>
      <c r="D415" t="s">
        <v>44</v>
      </c>
      <c r="E415" t="s">
        <v>36</v>
      </c>
      <c r="F415" t="s">
        <v>25</v>
      </c>
      <c r="G415" t="s">
        <v>70</v>
      </c>
      <c r="H415" t="s">
        <v>71</v>
      </c>
      <c r="I415" t="s">
        <v>44</v>
      </c>
      <c r="J415" t="s">
        <v>59</v>
      </c>
      <c r="K415" t="s">
        <v>71</v>
      </c>
      <c r="L415" s="3">
        <v>17230</v>
      </c>
      <c r="M415" s="3">
        <v>11064</v>
      </c>
      <c r="N415" t="s">
        <v>30</v>
      </c>
      <c r="O415" t="s">
        <v>42</v>
      </c>
      <c r="P415" t="s">
        <v>32</v>
      </c>
      <c r="Q415" t="s">
        <v>33</v>
      </c>
      <c r="R415" t="s">
        <v>34</v>
      </c>
      <c r="S415" s="3">
        <v>436837</v>
      </c>
      <c r="T415" t="str">
        <f>TEXT(tblTransactions[[#This Row],[Date]],"mmm")</f>
        <v>Apr</v>
      </c>
      <c r="U415" t="str">
        <f>"Q"&amp;ROUNDUP(MONTH(tblTransactions[[#This Row],[Date]])/3,0)</f>
        <v>Q2</v>
      </c>
      <c r="V415">
        <f>MONTH(tblTransactions[[#This Row],[Date]])</f>
        <v>4</v>
      </c>
    </row>
    <row r="416" spans="1:22" x14ac:dyDescent="0.4">
      <c r="A416" t="s">
        <v>490</v>
      </c>
      <c r="B416" s="2">
        <v>46126</v>
      </c>
      <c r="C416">
        <v>2026</v>
      </c>
      <c r="D416" t="s">
        <v>68</v>
      </c>
      <c r="E416" t="s">
        <v>45</v>
      </c>
      <c r="F416" t="s">
        <v>37</v>
      </c>
      <c r="G416" t="s">
        <v>77</v>
      </c>
      <c r="H416" t="s">
        <v>78</v>
      </c>
      <c r="I416" t="s">
        <v>53</v>
      </c>
      <c r="J416" t="s">
        <v>90</v>
      </c>
      <c r="K416" t="s">
        <v>78</v>
      </c>
      <c r="L416" s="3">
        <v>41912</v>
      </c>
      <c r="M416" s="3">
        <v>0</v>
      </c>
      <c r="N416" t="s">
        <v>30</v>
      </c>
      <c r="O416" t="s">
        <v>31</v>
      </c>
      <c r="P416" t="s">
        <v>32</v>
      </c>
      <c r="Q416" t="s">
        <v>33</v>
      </c>
      <c r="R416" t="s">
        <v>34</v>
      </c>
      <c r="S416" s="3">
        <v>478749</v>
      </c>
      <c r="T416" t="str">
        <f>TEXT(tblTransactions[[#This Row],[Date]],"mmm")</f>
        <v>Apr</v>
      </c>
      <c r="U416" t="str">
        <f>"Q"&amp;ROUNDUP(MONTH(tblTransactions[[#This Row],[Date]])/3,0)</f>
        <v>Q2</v>
      </c>
      <c r="V416">
        <f>MONTH(tblTransactions[[#This Row],[Date]])</f>
        <v>4</v>
      </c>
    </row>
    <row r="417" spans="1:22" x14ac:dyDescent="0.4">
      <c r="A417" t="s">
        <v>491</v>
      </c>
      <c r="B417" s="2">
        <v>46127</v>
      </c>
      <c r="C417">
        <v>2026</v>
      </c>
      <c r="D417" t="s">
        <v>23</v>
      </c>
      <c r="E417" t="s">
        <v>36</v>
      </c>
      <c r="F417" t="s">
        <v>25</v>
      </c>
      <c r="G417" t="s">
        <v>46</v>
      </c>
      <c r="H417" t="s">
        <v>47</v>
      </c>
      <c r="I417" t="s">
        <v>53</v>
      </c>
      <c r="J417" t="s">
        <v>90</v>
      </c>
      <c r="K417" t="s">
        <v>47</v>
      </c>
      <c r="L417" s="3">
        <v>13569</v>
      </c>
      <c r="M417" s="3">
        <v>8019</v>
      </c>
      <c r="N417" t="s">
        <v>54</v>
      </c>
      <c r="O417" t="s">
        <v>31</v>
      </c>
      <c r="P417" t="s">
        <v>32</v>
      </c>
      <c r="Q417" t="s">
        <v>34</v>
      </c>
      <c r="R417" t="s">
        <v>34</v>
      </c>
      <c r="S417" s="3">
        <v>465180</v>
      </c>
      <c r="T417" t="str">
        <f>TEXT(tblTransactions[[#This Row],[Date]],"mmm")</f>
        <v>Apr</v>
      </c>
      <c r="U417" t="str">
        <f>"Q"&amp;ROUNDUP(MONTH(tblTransactions[[#This Row],[Date]])/3,0)</f>
        <v>Q2</v>
      </c>
      <c r="V417">
        <f>MONTH(tblTransactions[[#This Row],[Date]])</f>
        <v>4</v>
      </c>
    </row>
    <row r="418" spans="1:22" x14ac:dyDescent="0.4">
      <c r="A418" t="s">
        <v>492</v>
      </c>
      <c r="B418" s="2">
        <v>46128</v>
      </c>
      <c r="C418">
        <v>2026</v>
      </c>
      <c r="D418" t="s">
        <v>23</v>
      </c>
      <c r="E418" t="s">
        <v>24</v>
      </c>
      <c r="F418" t="s">
        <v>25</v>
      </c>
      <c r="G418" t="s">
        <v>26</v>
      </c>
      <c r="H418" t="s">
        <v>27</v>
      </c>
      <c r="I418" t="s">
        <v>58</v>
      </c>
      <c r="J418" t="s">
        <v>111</v>
      </c>
      <c r="K418" t="s">
        <v>27</v>
      </c>
      <c r="L418" s="3">
        <v>11080</v>
      </c>
      <c r="M418" s="3">
        <v>19309</v>
      </c>
      <c r="N418" t="s">
        <v>41</v>
      </c>
      <c r="O418" t="s">
        <v>50</v>
      </c>
      <c r="P418" t="s">
        <v>32</v>
      </c>
      <c r="Q418" t="s">
        <v>33</v>
      </c>
      <c r="R418" t="s">
        <v>34</v>
      </c>
      <c r="S418" s="3">
        <v>454100</v>
      </c>
      <c r="T418" t="str">
        <f>TEXT(tblTransactions[[#This Row],[Date]],"mmm")</f>
        <v>Apr</v>
      </c>
      <c r="U418" t="str">
        <f>"Q"&amp;ROUNDUP(MONTH(tblTransactions[[#This Row],[Date]])/3,0)</f>
        <v>Q2</v>
      </c>
      <c r="V418">
        <f>MONTH(tblTransactions[[#This Row],[Date]])</f>
        <v>4</v>
      </c>
    </row>
    <row r="419" spans="1:22" x14ac:dyDescent="0.4">
      <c r="A419" t="s">
        <v>493</v>
      </c>
      <c r="B419" s="2">
        <v>46129</v>
      </c>
      <c r="C419">
        <v>2026</v>
      </c>
      <c r="D419" t="s">
        <v>44</v>
      </c>
      <c r="E419" t="s">
        <v>86</v>
      </c>
      <c r="F419" t="s">
        <v>25</v>
      </c>
      <c r="G419" t="s">
        <v>57</v>
      </c>
      <c r="H419" t="s">
        <v>40</v>
      </c>
      <c r="I419" t="s">
        <v>28</v>
      </c>
      <c r="J419" t="s">
        <v>111</v>
      </c>
      <c r="K419" t="s">
        <v>40</v>
      </c>
      <c r="L419" s="3">
        <v>14869</v>
      </c>
      <c r="M419" s="3">
        <v>16150</v>
      </c>
      <c r="N419" t="s">
        <v>60</v>
      </c>
      <c r="O419" t="s">
        <v>31</v>
      </c>
      <c r="P419" t="s">
        <v>32</v>
      </c>
      <c r="Q419" t="s">
        <v>34</v>
      </c>
      <c r="R419" t="s">
        <v>33</v>
      </c>
      <c r="S419" s="3">
        <v>439231</v>
      </c>
      <c r="T419" t="str">
        <f>TEXT(tblTransactions[[#This Row],[Date]],"mmm")</f>
        <v>Apr</v>
      </c>
      <c r="U419" t="str">
        <f>"Q"&amp;ROUNDUP(MONTH(tblTransactions[[#This Row],[Date]])/3,0)</f>
        <v>Q2</v>
      </c>
      <c r="V419">
        <f>MONTH(tblTransactions[[#This Row],[Date]])</f>
        <v>4</v>
      </c>
    </row>
    <row r="420" spans="1:22" x14ac:dyDescent="0.4">
      <c r="A420" t="s">
        <v>494</v>
      </c>
      <c r="B420" s="2">
        <v>46130</v>
      </c>
      <c r="C420">
        <v>2026</v>
      </c>
      <c r="D420" t="s">
        <v>44</v>
      </c>
      <c r="E420" t="s">
        <v>24</v>
      </c>
      <c r="F420" t="s">
        <v>25</v>
      </c>
      <c r="G420" t="s">
        <v>98</v>
      </c>
      <c r="H420" t="s">
        <v>99</v>
      </c>
      <c r="I420" t="s">
        <v>48</v>
      </c>
      <c r="J420" t="s">
        <v>74</v>
      </c>
      <c r="K420" t="s">
        <v>99</v>
      </c>
      <c r="L420" s="3">
        <v>12126</v>
      </c>
      <c r="M420" s="3">
        <v>2465</v>
      </c>
      <c r="N420" t="s">
        <v>60</v>
      </c>
      <c r="O420" t="s">
        <v>31</v>
      </c>
      <c r="P420" t="s">
        <v>32</v>
      </c>
      <c r="Q420" t="s">
        <v>34</v>
      </c>
      <c r="R420" t="s">
        <v>34</v>
      </c>
      <c r="S420" s="3">
        <v>427105</v>
      </c>
      <c r="T420" t="str">
        <f>TEXT(tblTransactions[[#This Row],[Date]],"mmm")</f>
        <v>Apr</v>
      </c>
      <c r="U420" t="str">
        <f>"Q"&amp;ROUNDUP(MONTH(tblTransactions[[#This Row],[Date]])/3,0)</f>
        <v>Q2</v>
      </c>
      <c r="V420">
        <f>MONTH(tblTransactions[[#This Row],[Date]])</f>
        <v>4</v>
      </c>
    </row>
    <row r="421" spans="1:22" x14ac:dyDescent="0.4">
      <c r="A421" t="s">
        <v>495</v>
      </c>
      <c r="B421" s="2">
        <v>46131</v>
      </c>
      <c r="C421">
        <v>2026</v>
      </c>
      <c r="D421" t="s">
        <v>44</v>
      </c>
      <c r="E421" t="s">
        <v>24</v>
      </c>
      <c r="F421" t="s">
        <v>25</v>
      </c>
      <c r="G421" t="s">
        <v>46</v>
      </c>
      <c r="H421" t="s">
        <v>47</v>
      </c>
      <c r="I421" t="s">
        <v>53</v>
      </c>
      <c r="J421" t="s">
        <v>84</v>
      </c>
      <c r="K421" t="s">
        <v>47</v>
      </c>
      <c r="L421" s="3">
        <v>12033</v>
      </c>
      <c r="M421" s="3">
        <v>16576</v>
      </c>
      <c r="N421" t="s">
        <v>54</v>
      </c>
      <c r="O421" t="s">
        <v>55</v>
      </c>
      <c r="P421" t="s">
        <v>32</v>
      </c>
      <c r="Q421" t="s">
        <v>33</v>
      </c>
      <c r="R421" t="s">
        <v>34</v>
      </c>
      <c r="S421" s="3">
        <v>415072</v>
      </c>
      <c r="T421" t="str">
        <f>TEXT(tblTransactions[[#This Row],[Date]],"mmm")</f>
        <v>Apr</v>
      </c>
      <c r="U421" t="str">
        <f>"Q"&amp;ROUNDUP(MONTH(tblTransactions[[#This Row],[Date]])/3,0)</f>
        <v>Q2</v>
      </c>
      <c r="V421">
        <f>MONTH(tblTransactions[[#This Row],[Date]])</f>
        <v>4</v>
      </c>
    </row>
    <row r="422" spans="1:22" x14ac:dyDescent="0.4">
      <c r="A422" t="s">
        <v>496</v>
      </c>
      <c r="B422" s="2">
        <v>46132</v>
      </c>
      <c r="C422">
        <v>2026</v>
      </c>
      <c r="D422" t="s">
        <v>68</v>
      </c>
      <c r="E422" t="s">
        <v>24</v>
      </c>
      <c r="F422" t="s">
        <v>25</v>
      </c>
      <c r="G422" t="s">
        <v>63</v>
      </c>
      <c r="H422" t="s">
        <v>64</v>
      </c>
      <c r="I422" t="s">
        <v>58</v>
      </c>
      <c r="J422" t="s">
        <v>74</v>
      </c>
      <c r="K422" t="s">
        <v>64</v>
      </c>
      <c r="L422" s="3">
        <v>18173</v>
      </c>
      <c r="M422" s="3">
        <v>6890</v>
      </c>
      <c r="N422" t="s">
        <v>30</v>
      </c>
      <c r="O422" t="s">
        <v>42</v>
      </c>
      <c r="P422" t="s">
        <v>32</v>
      </c>
      <c r="Q422" t="s">
        <v>33</v>
      </c>
      <c r="R422" t="s">
        <v>34</v>
      </c>
      <c r="S422" s="3">
        <v>396899</v>
      </c>
      <c r="T422" t="str">
        <f>TEXT(tblTransactions[[#This Row],[Date]],"mmm")</f>
        <v>Apr</v>
      </c>
      <c r="U422" t="str">
        <f>"Q"&amp;ROUNDUP(MONTH(tblTransactions[[#This Row],[Date]])/3,0)</f>
        <v>Q2</v>
      </c>
      <c r="V422">
        <f>MONTH(tblTransactions[[#This Row],[Date]])</f>
        <v>4</v>
      </c>
    </row>
    <row r="423" spans="1:22" x14ac:dyDescent="0.4">
      <c r="A423" t="s">
        <v>497</v>
      </c>
      <c r="B423" s="2">
        <v>46133</v>
      </c>
      <c r="C423">
        <v>2026</v>
      </c>
      <c r="D423" t="s">
        <v>68</v>
      </c>
      <c r="E423" t="s">
        <v>45</v>
      </c>
      <c r="F423" t="s">
        <v>25</v>
      </c>
      <c r="G423" t="s">
        <v>70</v>
      </c>
      <c r="H423" t="s">
        <v>71</v>
      </c>
      <c r="I423" t="s">
        <v>44</v>
      </c>
      <c r="J423" t="s">
        <v>65</v>
      </c>
      <c r="K423" t="s">
        <v>71</v>
      </c>
      <c r="L423" s="3">
        <v>321</v>
      </c>
      <c r="M423" s="3">
        <v>8719</v>
      </c>
      <c r="N423" t="s">
        <v>54</v>
      </c>
      <c r="O423" t="s">
        <v>55</v>
      </c>
      <c r="P423" t="s">
        <v>32</v>
      </c>
      <c r="Q423" t="s">
        <v>34</v>
      </c>
      <c r="R423" t="s">
        <v>34</v>
      </c>
      <c r="S423" s="3">
        <v>396578</v>
      </c>
      <c r="T423" t="str">
        <f>TEXT(tblTransactions[[#This Row],[Date]],"mmm")</f>
        <v>Apr</v>
      </c>
      <c r="U423" t="str">
        <f>"Q"&amp;ROUNDUP(MONTH(tblTransactions[[#This Row],[Date]])/3,0)</f>
        <v>Q2</v>
      </c>
      <c r="V423">
        <f>MONTH(tblTransactions[[#This Row],[Date]])</f>
        <v>4</v>
      </c>
    </row>
    <row r="424" spans="1:22" x14ac:dyDescent="0.4">
      <c r="A424" t="s">
        <v>498</v>
      </c>
      <c r="B424" s="2">
        <v>46135</v>
      </c>
      <c r="C424">
        <v>2026</v>
      </c>
      <c r="D424" t="s">
        <v>44</v>
      </c>
      <c r="E424" t="s">
        <v>86</v>
      </c>
      <c r="F424" t="s">
        <v>37</v>
      </c>
      <c r="G424" t="s">
        <v>93</v>
      </c>
      <c r="H424" t="s">
        <v>94</v>
      </c>
      <c r="I424" t="s">
        <v>28</v>
      </c>
      <c r="J424" t="s">
        <v>40</v>
      </c>
      <c r="K424" t="s">
        <v>94</v>
      </c>
      <c r="L424" s="3">
        <v>3681</v>
      </c>
      <c r="M424" s="3">
        <v>0</v>
      </c>
      <c r="N424" t="s">
        <v>30</v>
      </c>
      <c r="O424" t="s">
        <v>55</v>
      </c>
      <c r="P424" t="s">
        <v>32</v>
      </c>
      <c r="Q424" t="s">
        <v>34</v>
      </c>
      <c r="R424" t="s">
        <v>34</v>
      </c>
      <c r="S424" s="3">
        <v>400259</v>
      </c>
      <c r="T424" t="str">
        <f>TEXT(tblTransactions[[#This Row],[Date]],"mmm")</f>
        <v>Apr</v>
      </c>
      <c r="U424" t="str">
        <f>"Q"&amp;ROUNDUP(MONTH(tblTransactions[[#This Row],[Date]])/3,0)</f>
        <v>Q2</v>
      </c>
      <c r="V424">
        <f>MONTH(tblTransactions[[#This Row],[Date]])</f>
        <v>4</v>
      </c>
    </row>
    <row r="425" spans="1:22" x14ac:dyDescent="0.4">
      <c r="A425" t="s">
        <v>499</v>
      </c>
      <c r="B425" s="2">
        <v>46136</v>
      </c>
      <c r="C425">
        <v>2026</v>
      </c>
      <c r="D425" t="s">
        <v>68</v>
      </c>
      <c r="E425" t="s">
        <v>86</v>
      </c>
      <c r="F425" t="s">
        <v>37</v>
      </c>
      <c r="G425" t="s">
        <v>38</v>
      </c>
      <c r="H425" t="s">
        <v>38</v>
      </c>
      <c r="I425" t="s">
        <v>58</v>
      </c>
      <c r="J425" t="s">
        <v>111</v>
      </c>
      <c r="K425" t="s">
        <v>38</v>
      </c>
      <c r="L425" s="3">
        <v>63785</v>
      </c>
      <c r="M425" s="3">
        <v>0</v>
      </c>
      <c r="N425" t="s">
        <v>60</v>
      </c>
      <c r="O425" t="s">
        <v>42</v>
      </c>
      <c r="P425" t="s">
        <v>32</v>
      </c>
      <c r="Q425" t="s">
        <v>34</v>
      </c>
      <c r="R425" t="s">
        <v>34</v>
      </c>
      <c r="S425" s="3">
        <v>464044</v>
      </c>
      <c r="T425" t="str">
        <f>TEXT(tblTransactions[[#This Row],[Date]],"mmm")</f>
        <v>Apr</v>
      </c>
      <c r="U425" t="str">
        <f>"Q"&amp;ROUNDUP(MONTH(tblTransactions[[#This Row],[Date]])/3,0)</f>
        <v>Q2</v>
      </c>
      <c r="V425">
        <f>MONTH(tblTransactions[[#This Row],[Date]])</f>
        <v>4</v>
      </c>
    </row>
    <row r="426" spans="1:22" x14ac:dyDescent="0.4">
      <c r="A426" t="s">
        <v>500</v>
      </c>
      <c r="B426" s="2">
        <v>46137</v>
      </c>
      <c r="C426">
        <v>2026</v>
      </c>
      <c r="D426" t="s">
        <v>68</v>
      </c>
      <c r="E426" t="s">
        <v>24</v>
      </c>
      <c r="F426" t="s">
        <v>37</v>
      </c>
      <c r="G426" t="s">
        <v>77</v>
      </c>
      <c r="H426" t="s">
        <v>78</v>
      </c>
      <c r="I426" t="s">
        <v>39</v>
      </c>
      <c r="J426" t="s">
        <v>111</v>
      </c>
      <c r="K426" t="s">
        <v>78</v>
      </c>
      <c r="L426" s="3">
        <v>27073</v>
      </c>
      <c r="M426" s="3">
        <v>0</v>
      </c>
      <c r="N426" t="s">
        <v>30</v>
      </c>
      <c r="O426" t="s">
        <v>42</v>
      </c>
      <c r="P426" t="s">
        <v>32</v>
      </c>
      <c r="Q426" t="s">
        <v>34</v>
      </c>
      <c r="R426" t="s">
        <v>34</v>
      </c>
      <c r="S426" s="3">
        <v>491117</v>
      </c>
      <c r="T426" t="str">
        <f>TEXT(tblTransactions[[#This Row],[Date]],"mmm")</f>
        <v>Apr</v>
      </c>
      <c r="U426" t="str">
        <f>"Q"&amp;ROUNDUP(MONTH(tblTransactions[[#This Row],[Date]])/3,0)</f>
        <v>Q2</v>
      </c>
      <c r="V426">
        <f>MONTH(tblTransactions[[#This Row],[Date]])</f>
        <v>4</v>
      </c>
    </row>
    <row r="427" spans="1:22" x14ac:dyDescent="0.4">
      <c r="A427" t="s">
        <v>501</v>
      </c>
      <c r="B427" s="2">
        <v>46138</v>
      </c>
      <c r="C427">
        <v>2026</v>
      </c>
      <c r="D427" t="s">
        <v>68</v>
      </c>
      <c r="E427" t="s">
        <v>36</v>
      </c>
      <c r="F427" t="s">
        <v>25</v>
      </c>
      <c r="G427" t="s">
        <v>26</v>
      </c>
      <c r="H427" t="s">
        <v>27</v>
      </c>
      <c r="I427" t="s">
        <v>28</v>
      </c>
      <c r="J427" t="s">
        <v>65</v>
      </c>
      <c r="K427" t="s">
        <v>27</v>
      </c>
      <c r="L427" s="3">
        <v>15302</v>
      </c>
      <c r="M427" s="3">
        <v>13527</v>
      </c>
      <c r="N427" t="s">
        <v>60</v>
      </c>
      <c r="O427" t="s">
        <v>31</v>
      </c>
      <c r="P427" t="s">
        <v>32</v>
      </c>
      <c r="Q427" t="s">
        <v>34</v>
      </c>
      <c r="R427" t="s">
        <v>34</v>
      </c>
      <c r="S427" s="3">
        <v>475815</v>
      </c>
      <c r="T427" t="str">
        <f>TEXT(tblTransactions[[#This Row],[Date]],"mmm")</f>
        <v>Apr</v>
      </c>
      <c r="U427" t="str">
        <f>"Q"&amp;ROUNDUP(MONTH(tblTransactions[[#This Row],[Date]])/3,0)</f>
        <v>Q2</v>
      </c>
      <c r="V427">
        <f>MONTH(tblTransactions[[#This Row],[Date]])</f>
        <v>4</v>
      </c>
    </row>
    <row r="428" spans="1:22" x14ac:dyDescent="0.4">
      <c r="A428" t="s">
        <v>502</v>
      </c>
      <c r="B428" s="2">
        <v>46139</v>
      </c>
      <c r="C428">
        <v>2026</v>
      </c>
      <c r="D428" t="s">
        <v>23</v>
      </c>
      <c r="E428" t="s">
        <v>86</v>
      </c>
      <c r="F428" t="s">
        <v>25</v>
      </c>
      <c r="G428" t="s">
        <v>104</v>
      </c>
      <c r="H428" t="s">
        <v>105</v>
      </c>
      <c r="I428" t="s">
        <v>39</v>
      </c>
      <c r="J428" t="s">
        <v>84</v>
      </c>
      <c r="K428" t="s">
        <v>105</v>
      </c>
      <c r="L428" s="3">
        <v>3339</v>
      </c>
      <c r="M428" s="3">
        <v>8500</v>
      </c>
      <c r="N428" t="s">
        <v>54</v>
      </c>
      <c r="O428" t="s">
        <v>55</v>
      </c>
      <c r="P428" t="s">
        <v>32</v>
      </c>
      <c r="Q428" t="s">
        <v>34</v>
      </c>
      <c r="R428" t="s">
        <v>34</v>
      </c>
      <c r="S428" s="3">
        <v>472476</v>
      </c>
      <c r="T428" t="str">
        <f>TEXT(tblTransactions[[#This Row],[Date]],"mmm")</f>
        <v>Apr</v>
      </c>
      <c r="U428" t="str">
        <f>"Q"&amp;ROUNDUP(MONTH(tblTransactions[[#This Row],[Date]])/3,0)</f>
        <v>Q2</v>
      </c>
      <c r="V428">
        <f>MONTH(tblTransactions[[#This Row],[Date]])</f>
        <v>4</v>
      </c>
    </row>
    <row r="429" spans="1:22" x14ac:dyDescent="0.4">
      <c r="A429" t="s">
        <v>503</v>
      </c>
      <c r="B429" s="2">
        <v>46140</v>
      </c>
      <c r="C429">
        <v>2026</v>
      </c>
      <c r="D429" t="s">
        <v>23</v>
      </c>
      <c r="E429" t="s">
        <v>45</v>
      </c>
      <c r="F429" t="s">
        <v>25</v>
      </c>
      <c r="G429" t="s">
        <v>104</v>
      </c>
      <c r="H429" t="s">
        <v>105</v>
      </c>
      <c r="I429" t="s">
        <v>28</v>
      </c>
      <c r="J429" t="s">
        <v>59</v>
      </c>
      <c r="K429" t="s">
        <v>105</v>
      </c>
      <c r="L429" s="3">
        <v>16825</v>
      </c>
      <c r="M429" s="3">
        <v>12298</v>
      </c>
      <c r="N429" t="s">
        <v>60</v>
      </c>
      <c r="O429" t="s">
        <v>42</v>
      </c>
      <c r="P429" t="s">
        <v>32</v>
      </c>
      <c r="Q429" t="s">
        <v>34</v>
      </c>
      <c r="R429" t="s">
        <v>34</v>
      </c>
      <c r="S429" s="3">
        <v>455651</v>
      </c>
      <c r="T429" t="str">
        <f>TEXT(tblTransactions[[#This Row],[Date]],"mmm")</f>
        <v>Apr</v>
      </c>
      <c r="U429" t="str">
        <f>"Q"&amp;ROUNDUP(MONTH(tblTransactions[[#This Row],[Date]])/3,0)</f>
        <v>Q2</v>
      </c>
      <c r="V429">
        <f>MONTH(tblTransactions[[#This Row],[Date]])</f>
        <v>4</v>
      </c>
    </row>
    <row r="430" spans="1:22" x14ac:dyDescent="0.4">
      <c r="A430" t="s">
        <v>504</v>
      </c>
      <c r="B430" s="2">
        <v>46141</v>
      </c>
      <c r="C430">
        <v>2026</v>
      </c>
      <c r="D430" t="s">
        <v>68</v>
      </c>
      <c r="E430" t="s">
        <v>24</v>
      </c>
      <c r="F430" t="s">
        <v>25</v>
      </c>
      <c r="G430" t="s">
        <v>57</v>
      </c>
      <c r="H430" t="s">
        <v>40</v>
      </c>
      <c r="I430" t="s">
        <v>53</v>
      </c>
      <c r="J430" t="s">
        <v>65</v>
      </c>
      <c r="K430" t="s">
        <v>40</v>
      </c>
      <c r="L430" s="3">
        <v>11741</v>
      </c>
      <c r="M430" s="3">
        <v>17743</v>
      </c>
      <c r="N430" t="s">
        <v>54</v>
      </c>
      <c r="O430" t="s">
        <v>31</v>
      </c>
      <c r="P430" t="s">
        <v>32</v>
      </c>
      <c r="Q430" t="s">
        <v>34</v>
      </c>
      <c r="R430" t="s">
        <v>34</v>
      </c>
      <c r="S430" s="3">
        <v>443910</v>
      </c>
      <c r="T430" t="str">
        <f>TEXT(tblTransactions[[#This Row],[Date]],"mmm")</f>
        <v>Apr</v>
      </c>
      <c r="U430" t="str">
        <f>"Q"&amp;ROUNDUP(MONTH(tblTransactions[[#This Row],[Date]])/3,0)</f>
        <v>Q2</v>
      </c>
      <c r="V430">
        <f>MONTH(tblTransactions[[#This Row],[Date]])</f>
        <v>4</v>
      </c>
    </row>
    <row r="431" spans="1:22" x14ac:dyDescent="0.4">
      <c r="A431" t="s">
        <v>505</v>
      </c>
      <c r="B431" s="2">
        <v>46143</v>
      </c>
      <c r="C431">
        <v>2026</v>
      </c>
      <c r="D431" t="s">
        <v>68</v>
      </c>
      <c r="E431" t="s">
        <v>24</v>
      </c>
      <c r="F431" t="s">
        <v>25</v>
      </c>
      <c r="G431" t="s">
        <v>57</v>
      </c>
      <c r="H431" t="s">
        <v>40</v>
      </c>
      <c r="I431" t="s">
        <v>44</v>
      </c>
      <c r="J431" t="s">
        <v>84</v>
      </c>
      <c r="K431" t="s">
        <v>40</v>
      </c>
      <c r="L431" s="3">
        <v>2976</v>
      </c>
      <c r="M431" s="3">
        <v>4178</v>
      </c>
      <c r="N431" t="s">
        <v>60</v>
      </c>
      <c r="O431" t="s">
        <v>55</v>
      </c>
      <c r="P431" t="s">
        <v>32</v>
      </c>
      <c r="Q431" t="s">
        <v>34</v>
      </c>
      <c r="R431" t="s">
        <v>34</v>
      </c>
      <c r="S431" s="3">
        <v>440934</v>
      </c>
      <c r="T431" t="str">
        <f>TEXT(tblTransactions[[#This Row],[Date]],"mmm")</f>
        <v>May</v>
      </c>
      <c r="U431" t="str">
        <f>"Q"&amp;ROUNDUP(MONTH(tblTransactions[[#This Row],[Date]])/3,0)</f>
        <v>Q2</v>
      </c>
      <c r="V431">
        <f>MONTH(tblTransactions[[#This Row],[Date]])</f>
        <v>5</v>
      </c>
    </row>
    <row r="432" spans="1:22" x14ac:dyDescent="0.4">
      <c r="A432" t="s">
        <v>506</v>
      </c>
      <c r="B432" s="2">
        <v>46144</v>
      </c>
      <c r="C432">
        <v>2026</v>
      </c>
      <c r="D432" t="s">
        <v>68</v>
      </c>
      <c r="E432" t="s">
        <v>36</v>
      </c>
      <c r="F432" t="s">
        <v>25</v>
      </c>
      <c r="G432" t="s">
        <v>26</v>
      </c>
      <c r="H432" t="s">
        <v>27</v>
      </c>
      <c r="I432" t="s">
        <v>28</v>
      </c>
      <c r="J432" t="s">
        <v>90</v>
      </c>
      <c r="K432" t="s">
        <v>27</v>
      </c>
      <c r="L432" s="3">
        <v>1216</v>
      </c>
      <c r="M432" s="3">
        <v>16288</v>
      </c>
      <c r="N432" t="s">
        <v>60</v>
      </c>
      <c r="O432" t="s">
        <v>42</v>
      </c>
      <c r="P432" t="s">
        <v>32</v>
      </c>
      <c r="Q432" t="s">
        <v>33</v>
      </c>
      <c r="R432" t="s">
        <v>34</v>
      </c>
      <c r="S432" s="3">
        <v>439718</v>
      </c>
      <c r="T432" t="str">
        <f>TEXT(tblTransactions[[#This Row],[Date]],"mmm")</f>
        <v>May</v>
      </c>
      <c r="U432" t="str">
        <f>"Q"&amp;ROUNDUP(MONTH(tblTransactions[[#This Row],[Date]])/3,0)</f>
        <v>Q2</v>
      </c>
      <c r="V432">
        <f>MONTH(tblTransactions[[#This Row],[Date]])</f>
        <v>5</v>
      </c>
    </row>
    <row r="433" spans="1:22" x14ac:dyDescent="0.4">
      <c r="A433" t="s">
        <v>507</v>
      </c>
      <c r="B433" s="2">
        <v>46147</v>
      </c>
      <c r="C433">
        <v>2026</v>
      </c>
      <c r="D433" t="s">
        <v>23</v>
      </c>
      <c r="E433" t="s">
        <v>24</v>
      </c>
      <c r="F433" t="s">
        <v>25</v>
      </c>
      <c r="G433" t="s">
        <v>63</v>
      </c>
      <c r="H433" t="s">
        <v>64</v>
      </c>
      <c r="I433" t="s">
        <v>39</v>
      </c>
      <c r="J433" t="s">
        <v>84</v>
      </c>
      <c r="K433" t="s">
        <v>64</v>
      </c>
      <c r="L433" s="3">
        <v>9381</v>
      </c>
      <c r="M433" s="3">
        <v>15922</v>
      </c>
      <c r="N433" t="s">
        <v>30</v>
      </c>
      <c r="O433" t="s">
        <v>55</v>
      </c>
      <c r="P433" t="s">
        <v>32</v>
      </c>
      <c r="Q433" t="s">
        <v>33</v>
      </c>
      <c r="R433" t="s">
        <v>34</v>
      </c>
      <c r="S433" s="3">
        <v>430337</v>
      </c>
      <c r="T433" t="str">
        <f>TEXT(tblTransactions[[#This Row],[Date]],"mmm")</f>
        <v>May</v>
      </c>
      <c r="U433" t="str">
        <f>"Q"&amp;ROUNDUP(MONTH(tblTransactions[[#This Row],[Date]])/3,0)</f>
        <v>Q2</v>
      </c>
      <c r="V433">
        <f>MONTH(tblTransactions[[#This Row],[Date]])</f>
        <v>5</v>
      </c>
    </row>
    <row r="434" spans="1:22" x14ac:dyDescent="0.4">
      <c r="A434" t="s">
        <v>508</v>
      </c>
      <c r="B434" s="2">
        <v>46148</v>
      </c>
      <c r="C434">
        <v>2026</v>
      </c>
      <c r="D434" t="s">
        <v>68</v>
      </c>
      <c r="E434" t="s">
        <v>24</v>
      </c>
      <c r="F434" t="s">
        <v>25</v>
      </c>
      <c r="G434" t="s">
        <v>46</v>
      </c>
      <c r="H434" t="s">
        <v>47</v>
      </c>
      <c r="I434" t="s">
        <v>44</v>
      </c>
      <c r="J434" t="s">
        <v>90</v>
      </c>
      <c r="K434" t="s">
        <v>47</v>
      </c>
      <c r="L434" s="3">
        <v>17232</v>
      </c>
      <c r="M434" s="3">
        <v>12110</v>
      </c>
      <c r="N434" t="s">
        <v>30</v>
      </c>
      <c r="O434" t="s">
        <v>31</v>
      </c>
      <c r="P434" t="s">
        <v>32</v>
      </c>
      <c r="Q434" t="s">
        <v>34</v>
      </c>
      <c r="R434" t="s">
        <v>34</v>
      </c>
      <c r="S434" s="3">
        <v>413105</v>
      </c>
      <c r="T434" t="str">
        <f>TEXT(tblTransactions[[#This Row],[Date]],"mmm")</f>
        <v>May</v>
      </c>
      <c r="U434" t="str">
        <f>"Q"&amp;ROUNDUP(MONTH(tblTransactions[[#This Row],[Date]])/3,0)</f>
        <v>Q2</v>
      </c>
      <c r="V434">
        <f>MONTH(tblTransactions[[#This Row],[Date]])</f>
        <v>5</v>
      </c>
    </row>
    <row r="435" spans="1:22" x14ac:dyDescent="0.4">
      <c r="A435" t="s">
        <v>509</v>
      </c>
      <c r="B435" s="2">
        <v>46150</v>
      </c>
      <c r="C435">
        <v>2026</v>
      </c>
      <c r="D435" t="s">
        <v>68</v>
      </c>
      <c r="E435" t="s">
        <v>86</v>
      </c>
      <c r="F435" t="s">
        <v>25</v>
      </c>
      <c r="G435" t="s">
        <v>70</v>
      </c>
      <c r="H435" t="s">
        <v>71</v>
      </c>
      <c r="I435" t="s">
        <v>28</v>
      </c>
      <c r="J435" t="s">
        <v>49</v>
      </c>
      <c r="K435" t="s">
        <v>71</v>
      </c>
      <c r="L435" s="3">
        <v>3904</v>
      </c>
      <c r="M435" s="3">
        <v>1024</v>
      </c>
      <c r="N435" t="s">
        <v>54</v>
      </c>
      <c r="O435" t="s">
        <v>55</v>
      </c>
      <c r="P435" t="s">
        <v>32</v>
      </c>
      <c r="Q435" t="s">
        <v>34</v>
      </c>
      <c r="R435" t="s">
        <v>34</v>
      </c>
      <c r="S435" s="3">
        <v>409201</v>
      </c>
      <c r="T435" t="str">
        <f>TEXT(tblTransactions[[#This Row],[Date]],"mmm")</f>
        <v>May</v>
      </c>
      <c r="U435" t="str">
        <f>"Q"&amp;ROUNDUP(MONTH(tblTransactions[[#This Row],[Date]])/3,0)</f>
        <v>Q2</v>
      </c>
      <c r="V435">
        <f>MONTH(tblTransactions[[#This Row],[Date]])</f>
        <v>5</v>
      </c>
    </row>
    <row r="436" spans="1:22" x14ac:dyDescent="0.4">
      <c r="A436" t="s">
        <v>510</v>
      </c>
      <c r="B436" s="2">
        <v>46151</v>
      </c>
      <c r="C436">
        <v>2026</v>
      </c>
      <c r="D436" t="s">
        <v>23</v>
      </c>
      <c r="E436" t="s">
        <v>45</v>
      </c>
      <c r="F436" t="s">
        <v>25</v>
      </c>
      <c r="G436" t="s">
        <v>26</v>
      </c>
      <c r="H436" t="s">
        <v>27</v>
      </c>
      <c r="I436" t="s">
        <v>28</v>
      </c>
      <c r="J436" t="s">
        <v>84</v>
      </c>
      <c r="K436" t="s">
        <v>27</v>
      </c>
      <c r="L436" s="3">
        <v>2774</v>
      </c>
      <c r="M436" s="3">
        <v>13123</v>
      </c>
      <c r="N436" t="s">
        <v>41</v>
      </c>
      <c r="O436" t="s">
        <v>50</v>
      </c>
      <c r="P436" t="s">
        <v>32</v>
      </c>
      <c r="Q436" t="s">
        <v>33</v>
      </c>
      <c r="R436" t="s">
        <v>34</v>
      </c>
      <c r="S436" s="3">
        <v>406427</v>
      </c>
      <c r="T436" t="str">
        <f>TEXT(tblTransactions[[#This Row],[Date]],"mmm")</f>
        <v>May</v>
      </c>
      <c r="U436" t="str">
        <f>"Q"&amp;ROUNDUP(MONTH(tblTransactions[[#This Row],[Date]])/3,0)</f>
        <v>Q2</v>
      </c>
      <c r="V436">
        <f>MONTH(tblTransactions[[#This Row],[Date]])</f>
        <v>5</v>
      </c>
    </row>
    <row r="437" spans="1:22" x14ac:dyDescent="0.4">
      <c r="A437" t="s">
        <v>511</v>
      </c>
      <c r="B437" s="2">
        <v>46152</v>
      </c>
      <c r="C437">
        <v>2026</v>
      </c>
      <c r="D437" t="s">
        <v>23</v>
      </c>
      <c r="E437" t="s">
        <v>24</v>
      </c>
      <c r="F437" t="s">
        <v>25</v>
      </c>
      <c r="G437" t="s">
        <v>98</v>
      </c>
      <c r="H437" t="s">
        <v>99</v>
      </c>
      <c r="I437" t="s">
        <v>53</v>
      </c>
      <c r="J437" t="s">
        <v>84</v>
      </c>
      <c r="K437" t="s">
        <v>99</v>
      </c>
      <c r="L437" s="3">
        <v>3000</v>
      </c>
      <c r="M437" s="3">
        <v>1991</v>
      </c>
      <c r="N437" t="s">
        <v>54</v>
      </c>
      <c r="O437" t="s">
        <v>55</v>
      </c>
      <c r="P437" t="s">
        <v>32</v>
      </c>
      <c r="Q437" t="s">
        <v>33</v>
      </c>
      <c r="R437" t="s">
        <v>34</v>
      </c>
      <c r="S437" s="3">
        <v>403427</v>
      </c>
      <c r="T437" t="str">
        <f>TEXT(tblTransactions[[#This Row],[Date]],"mmm")</f>
        <v>May</v>
      </c>
      <c r="U437" t="str">
        <f>"Q"&amp;ROUNDUP(MONTH(tblTransactions[[#This Row],[Date]])/3,0)</f>
        <v>Q2</v>
      </c>
      <c r="V437">
        <f>MONTH(tblTransactions[[#This Row],[Date]])</f>
        <v>5</v>
      </c>
    </row>
    <row r="438" spans="1:22" x14ac:dyDescent="0.4">
      <c r="A438" t="s">
        <v>512</v>
      </c>
      <c r="B438" s="2">
        <v>46153</v>
      </c>
      <c r="C438">
        <v>2026</v>
      </c>
      <c r="D438" t="s">
        <v>44</v>
      </c>
      <c r="E438" t="s">
        <v>24</v>
      </c>
      <c r="F438" t="s">
        <v>25</v>
      </c>
      <c r="G438" t="s">
        <v>26</v>
      </c>
      <c r="H438" t="s">
        <v>27</v>
      </c>
      <c r="I438" t="s">
        <v>39</v>
      </c>
      <c r="J438" t="s">
        <v>59</v>
      </c>
      <c r="K438" t="s">
        <v>27</v>
      </c>
      <c r="L438" s="3">
        <v>17020</v>
      </c>
      <c r="M438" s="3">
        <v>4268</v>
      </c>
      <c r="N438" t="s">
        <v>41</v>
      </c>
      <c r="O438" t="s">
        <v>55</v>
      </c>
      <c r="P438" t="s">
        <v>32</v>
      </c>
      <c r="Q438" t="s">
        <v>34</v>
      </c>
      <c r="R438" t="s">
        <v>34</v>
      </c>
      <c r="S438" s="3">
        <v>386407</v>
      </c>
      <c r="T438" t="str">
        <f>TEXT(tblTransactions[[#This Row],[Date]],"mmm")</f>
        <v>May</v>
      </c>
      <c r="U438" t="str">
        <f>"Q"&amp;ROUNDUP(MONTH(tblTransactions[[#This Row],[Date]])/3,0)</f>
        <v>Q2</v>
      </c>
      <c r="V438">
        <f>MONTH(tblTransactions[[#This Row],[Date]])</f>
        <v>5</v>
      </c>
    </row>
    <row r="439" spans="1:22" x14ac:dyDescent="0.4">
      <c r="A439" t="s">
        <v>513</v>
      </c>
      <c r="B439" s="2">
        <v>46154</v>
      </c>
      <c r="C439">
        <v>2026</v>
      </c>
      <c r="D439" t="s">
        <v>23</v>
      </c>
      <c r="E439" t="s">
        <v>45</v>
      </c>
      <c r="F439" t="s">
        <v>25</v>
      </c>
      <c r="G439" t="s">
        <v>57</v>
      </c>
      <c r="H439" t="s">
        <v>40</v>
      </c>
      <c r="I439" t="s">
        <v>58</v>
      </c>
      <c r="J439" t="s">
        <v>84</v>
      </c>
      <c r="K439" t="s">
        <v>40</v>
      </c>
      <c r="L439" s="3">
        <v>1647</v>
      </c>
      <c r="M439" s="3">
        <v>10822</v>
      </c>
      <c r="N439" t="s">
        <v>41</v>
      </c>
      <c r="O439" t="s">
        <v>50</v>
      </c>
      <c r="P439" t="s">
        <v>32</v>
      </c>
      <c r="Q439" t="s">
        <v>33</v>
      </c>
      <c r="R439" t="s">
        <v>34</v>
      </c>
      <c r="S439" s="3">
        <v>384760</v>
      </c>
      <c r="T439" t="str">
        <f>TEXT(tblTransactions[[#This Row],[Date]],"mmm")</f>
        <v>May</v>
      </c>
      <c r="U439" t="str">
        <f>"Q"&amp;ROUNDUP(MONTH(tblTransactions[[#This Row],[Date]])/3,0)</f>
        <v>Q2</v>
      </c>
      <c r="V439">
        <f>MONTH(tblTransactions[[#This Row],[Date]])</f>
        <v>5</v>
      </c>
    </row>
    <row r="440" spans="1:22" x14ac:dyDescent="0.4">
      <c r="A440" t="s">
        <v>514</v>
      </c>
      <c r="B440" s="2">
        <v>46155</v>
      </c>
      <c r="C440">
        <v>2026</v>
      </c>
      <c r="D440" t="s">
        <v>68</v>
      </c>
      <c r="E440" t="s">
        <v>45</v>
      </c>
      <c r="F440" t="s">
        <v>37</v>
      </c>
      <c r="G440" t="s">
        <v>93</v>
      </c>
      <c r="H440" t="s">
        <v>94</v>
      </c>
      <c r="I440" t="s">
        <v>58</v>
      </c>
      <c r="J440" t="s">
        <v>111</v>
      </c>
      <c r="K440" t="s">
        <v>94</v>
      </c>
      <c r="L440" s="3">
        <v>26516</v>
      </c>
      <c r="M440" s="3">
        <v>0</v>
      </c>
      <c r="N440" t="s">
        <v>30</v>
      </c>
      <c r="O440" t="s">
        <v>50</v>
      </c>
      <c r="P440" t="s">
        <v>32</v>
      </c>
      <c r="Q440" t="s">
        <v>34</v>
      </c>
      <c r="R440" t="s">
        <v>34</v>
      </c>
      <c r="S440" s="3">
        <v>411276</v>
      </c>
      <c r="T440" t="str">
        <f>TEXT(tblTransactions[[#This Row],[Date]],"mmm")</f>
        <v>May</v>
      </c>
      <c r="U440" t="str">
        <f>"Q"&amp;ROUNDUP(MONTH(tblTransactions[[#This Row],[Date]])/3,0)</f>
        <v>Q2</v>
      </c>
      <c r="V440">
        <f>MONTH(tblTransactions[[#This Row],[Date]])</f>
        <v>5</v>
      </c>
    </row>
    <row r="441" spans="1:22" x14ac:dyDescent="0.4">
      <c r="A441" t="s">
        <v>515</v>
      </c>
      <c r="B441" s="2">
        <v>46156</v>
      </c>
      <c r="C441">
        <v>2026</v>
      </c>
      <c r="D441" t="s">
        <v>23</v>
      </c>
      <c r="E441" t="s">
        <v>36</v>
      </c>
      <c r="F441" t="s">
        <v>25</v>
      </c>
      <c r="G441" t="s">
        <v>98</v>
      </c>
      <c r="H441" t="s">
        <v>99</v>
      </c>
      <c r="I441" t="s">
        <v>48</v>
      </c>
      <c r="J441" t="s">
        <v>59</v>
      </c>
      <c r="K441" t="s">
        <v>99</v>
      </c>
      <c r="L441" s="3">
        <v>14786</v>
      </c>
      <c r="M441" s="3">
        <v>18153</v>
      </c>
      <c r="N441" t="s">
        <v>30</v>
      </c>
      <c r="O441" t="s">
        <v>55</v>
      </c>
      <c r="P441" t="s">
        <v>32</v>
      </c>
      <c r="Q441" t="s">
        <v>33</v>
      </c>
      <c r="R441" t="s">
        <v>34</v>
      </c>
      <c r="S441" s="3">
        <v>396490</v>
      </c>
      <c r="T441" t="str">
        <f>TEXT(tblTransactions[[#This Row],[Date]],"mmm")</f>
        <v>May</v>
      </c>
      <c r="U441" t="str">
        <f>"Q"&amp;ROUNDUP(MONTH(tblTransactions[[#This Row],[Date]])/3,0)</f>
        <v>Q2</v>
      </c>
      <c r="V441">
        <f>MONTH(tblTransactions[[#This Row],[Date]])</f>
        <v>5</v>
      </c>
    </row>
    <row r="442" spans="1:22" x14ac:dyDescent="0.4">
      <c r="A442" t="s">
        <v>516</v>
      </c>
      <c r="B442" s="2">
        <v>46157</v>
      </c>
      <c r="C442">
        <v>2026</v>
      </c>
      <c r="D442" t="s">
        <v>23</v>
      </c>
      <c r="E442" t="s">
        <v>24</v>
      </c>
      <c r="F442" t="s">
        <v>25</v>
      </c>
      <c r="G442" t="s">
        <v>104</v>
      </c>
      <c r="H442" t="s">
        <v>105</v>
      </c>
      <c r="I442" t="s">
        <v>48</v>
      </c>
      <c r="J442" t="s">
        <v>84</v>
      </c>
      <c r="K442" t="s">
        <v>105</v>
      </c>
      <c r="L442" s="3">
        <v>12590</v>
      </c>
      <c r="M442" s="3">
        <v>13221</v>
      </c>
      <c r="N442" t="s">
        <v>60</v>
      </c>
      <c r="O442" t="s">
        <v>31</v>
      </c>
      <c r="P442" t="s">
        <v>32</v>
      </c>
      <c r="Q442" t="s">
        <v>34</v>
      </c>
      <c r="R442" t="s">
        <v>34</v>
      </c>
      <c r="S442" s="3">
        <v>383900</v>
      </c>
      <c r="T442" t="str">
        <f>TEXT(tblTransactions[[#This Row],[Date]],"mmm")</f>
        <v>May</v>
      </c>
      <c r="U442" t="str">
        <f>"Q"&amp;ROUNDUP(MONTH(tblTransactions[[#This Row],[Date]])/3,0)</f>
        <v>Q2</v>
      </c>
      <c r="V442">
        <f>MONTH(tblTransactions[[#This Row],[Date]])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shiva kumar</cp:lastModifiedBy>
  <dcterms:created xsi:type="dcterms:W3CDTF">2026-08-01T12:07:32Z</dcterms:created>
  <dcterms:modified xsi:type="dcterms:W3CDTF">2026-08-01T12:09:42Z</dcterms:modified>
</cp:coreProperties>
</file>